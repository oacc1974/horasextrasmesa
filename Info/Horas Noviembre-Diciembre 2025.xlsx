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Horas Extras\Info\"/>
    </mc:Choice>
  </mc:AlternateContent>
  <xr:revisionPtr revIDLastSave="0" documentId="13_ncr:1_{752FFAAC-3416-4175-9DE0-055D18EAB774}" xr6:coauthVersionLast="47" xr6:coauthVersionMax="47" xr10:uidLastSave="{00000000-0000-0000-0000-000000000000}"/>
  <bookViews>
    <workbookView xWindow="-120" yWindow="-120" windowWidth="29040" windowHeight="15720" tabRatio="903" firstSheet="2" activeTab="2" xr2:uid="{00000000-000D-0000-FFFF-FFFF00000000}"/>
  </bookViews>
  <sheets>
    <sheet name="Israel Cuestas" sheetId="22" state="hidden" r:id="rId1"/>
    <sheet name="Luis Robles" sheetId="6" state="hidden" r:id="rId2"/>
    <sheet name="HUGO PARADA" sheetId="28" r:id="rId3"/>
    <sheet name="AGUIRRE DELGADO" sheetId="11" state="hidden" r:id="rId4"/>
    <sheet name="Marco Monta" sheetId="17" state="hidden" r:id="rId5"/>
    <sheet name="JOSE SERRANO" sheetId="30" r:id="rId6"/>
    <sheet name="MELANIE REYES" sheetId="32" r:id="rId7"/>
    <sheet name="CRISTHIAN JIMENEZ" sheetId="34" r:id="rId8"/>
    <sheet name="FERNANDO PHILCO " sheetId="38" r:id="rId9"/>
    <sheet name="GABRIEL BAQUERIZO" sheetId="41" r:id="rId10"/>
    <sheet name="BRYAN RODRIGUEZ" sheetId="42" r:id="rId11"/>
    <sheet name="ISSAC GONZALEZ" sheetId="43" r:id="rId12"/>
    <sheet name="Hoja1" sheetId="39" r:id="rId13"/>
  </sheets>
  <definedNames>
    <definedName name="_xlnm__FilterDatabase" localSheetId="3">'AGUIRRE DELGADO'!$A$5:$N$35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43" l="1"/>
  <c r="F37" i="42"/>
  <c r="F37" i="41"/>
  <c r="F37" i="38"/>
  <c r="F37" i="34"/>
  <c r="F37" i="32"/>
  <c r="F37" i="30"/>
  <c r="F37" i="28"/>
  <c r="E36" i="43"/>
  <c r="E35" i="43"/>
  <c r="E34" i="43"/>
  <c r="E33" i="43"/>
  <c r="E32" i="43"/>
  <c r="E29" i="43"/>
  <c r="E28" i="43"/>
  <c r="E27" i="43"/>
  <c r="E26" i="43"/>
  <c r="E25" i="43"/>
  <c r="E22" i="43"/>
  <c r="E21" i="43"/>
  <c r="E20" i="43"/>
  <c r="E19" i="43"/>
  <c r="E18" i="43"/>
  <c r="E15" i="43"/>
  <c r="E14" i="43"/>
  <c r="E13" i="43"/>
  <c r="E12" i="43"/>
  <c r="E11" i="43"/>
  <c r="E8" i="43"/>
  <c r="E7" i="43"/>
  <c r="E36" i="42"/>
  <c r="E35" i="42"/>
  <c r="E34" i="42"/>
  <c r="E31" i="42"/>
  <c r="E29" i="42"/>
  <c r="E28" i="42"/>
  <c r="E27" i="42"/>
  <c r="E26" i="42"/>
  <c r="E25" i="42"/>
  <c r="E20" i="42"/>
  <c r="E19" i="42"/>
  <c r="E17" i="42"/>
  <c r="E16" i="42"/>
  <c r="E15" i="42"/>
  <c r="E14" i="42"/>
  <c r="E11" i="42"/>
  <c r="E10" i="42"/>
  <c r="E9" i="42"/>
  <c r="E36" i="41"/>
  <c r="E35" i="41"/>
  <c r="E34" i="41"/>
  <c r="E31" i="41"/>
  <c r="E30" i="41"/>
  <c r="E29" i="41"/>
  <c r="E28" i="41"/>
  <c r="E24" i="41"/>
  <c r="E22" i="41"/>
  <c r="E21" i="41"/>
  <c r="E20" i="41"/>
  <c r="E19" i="41"/>
  <c r="E18" i="41"/>
  <c r="E14" i="41"/>
  <c r="E15" i="41"/>
  <c r="E10" i="41"/>
  <c r="E9" i="41"/>
  <c r="E8" i="41"/>
  <c r="E7" i="41"/>
  <c r="E34" i="38"/>
  <c r="E33" i="38"/>
  <c r="E32" i="38"/>
  <c r="E31" i="38"/>
  <c r="E20" i="38"/>
  <c r="E19" i="38"/>
  <c r="E18" i="38"/>
  <c r="E16" i="38"/>
  <c r="E17" i="38"/>
  <c r="E15" i="38"/>
  <c r="E14" i="38"/>
  <c r="E11" i="38"/>
  <c r="E10" i="38"/>
  <c r="E9" i="38"/>
  <c r="E8" i="38"/>
  <c r="E7" i="38"/>
  <c r="E36" i="34"/>
  <c r="E35" i="34"/>
  <c r="E34" i="34"/>
  <c r="E33" i="34"/>
  <c r="E32" i="34"/>
  <c r="E25" i="34"/>
  <c r="E24" i="34"/>
  <c r="E22" i="34"/>
  <c r="E21" i="34"/>
  <c r="E18" i="34"/>
  <c r="E17" i="34"/>
  <c r="E16" i="34"/>
  <c r="E15" i="34"/>
  <c r="E14" i="34"/>
  <c r="E13" i="34"/>
  <c r="E10" i="34"/>
  <c r="E9" i="34"/>
  <c r="E32" i="32"/>
  <c r="E36" i="32"/>
  <c r="E35" i="32"/>
  <c r="E31" i="32"/>
  <c r="E25" i="32"/>
  <c r="E24" i="32"/>
  <c r="E22" i="32"/>
  <c r="E21" i="32"/>
  <c r="E20" i="32"/>
  <c r="E17" i="32"/>
  <c r="E16" i="32"/>
  <c r="E11" i="32"/>
  <c r="E8" i="32"/>
  <c r="E7" i="32"/>
  <c r="E36" i="30"/>
  <c r="E35" i="30"/>
  <c r="E30" i="30"/>
  <c r="E32" i="30"/>
  <c r="E31" i="30"/>
  <c r="E29" i="30"/>
  <c r="E28" i="30"/>
  <c r="E27" i="30"/>
  <c r="E24" i="30"/>
  <c r="E22" i="30"/>
  <c r="E21" i="30"/>
  <c r="E18" i="30"/>
  <c r="E17" i="30"/>
  <c r="E16" i="30"/>
  <c r="E11" i="30"/>
  <c r="E10" i="30"/>
  <c r="E9" i="30"/>
  <c r="E8" i="30"/>
  <c r="E7" i="30"/>
  <c r="E21" i="28"/>
  <c r="E34" i="28"/>
  <c r="E33" i="28"/>
  <c r="E32" i="28"/>
  <c r="E31" i="28"/>
  <c r="E29" i="28"/>
  <c r="E28" i="28"/>
  <c r="E27" i="28"/>
  <c r="E24" i="28"/>
  <c r="E23" i="28"/>
  <c r="E17" i="28"/>
  <c r="E16" i="28"/>
  <c r="E22" i="28"/>
  <c r="E20" i="28"/>
  <c r="E11" i="28"/>
  <c r="E10" i="28"/>
  <c r="E9" i="28"/>
  <c r="E8" i="28"/>
  <c r="E7" i="28"/>
  <c r="I37" i="43"/>
  <c r="H37" i="43"/>
  <c r="I37" i="42"/>
  <c r="H37" i="42"/>
  <c r="I37" i="41"/>
  <c r="H37" i="41"/>
  <c r="E27" i="41"/>
  <c r="E23" i="41"/>
  <c r="E13" i="41"/>
  <c r="I37" i="38"/>
  <c r="H37" i="38"/>
  <c r="E27" i="38"/>
  <c r="E26" i="38"/>
  <c r="E23" i="38"/>
  <c r="I37" i="32"/>
  <c r="H37" i="32"/>
  <c r="E23" i="32"/>
  <c r="E13" i="32"/>
  <c r="E12" i="32"/>
  <c r="I37" i="34"/>
  <c r="H37" i="34"/>
  <c r="E27" i="34"/>
  <c r="E26" i="34"/>
  <c r="E23" i="34"/>
  <c r="I37" i="30"/>
  <c r="H37" i="30"/>
  <c r="E23" i="30"/>
  <c r="E13" i="30"/>
  <c r="E12" i="30"/>
  <c r="H37" i="28"/>
  <c r="E12" i="28"/>
  <c r="I37" i="28"/>
  <c r="E13" i="28"/>
  <c r="Q13" i="32" l="1"/>
  <c r="Q14" i="32" s="1"/>
  <c r="I37" i="22" l="1"/>
  <c r="H37" i="22"/>
  <c r="G37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37" i="22" s="1"/>
  <c r="F35" i="6"/>
  <c r="F36" i="6"/>
  <c r="F37" i="6"/>
  <c r="B35" i="6"/>
  <c r="B36" i="6"/>
  <c r="G22" i="6"/>
  <c r="G40" i="6" s="1"/>
  <c r="G23" i="6"/>
  <c r="G24" i="6"/>
  <c r="G25" i="6"/>
  <c r="G26" i="6"/>
  <c r="G27" i="6"/>
  <c r="G28" i="6"/>
  <c r="G29" i="6"/>
  <c r="G30" i="6"/>
  <c r="G31" i="6"/>
  <c r="G32" i="6"/>
  <c r="G33" i="6"/>
  <c r="G34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8" i="17"/>
  <c r="F39" i="17" s="1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C3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F7" i="6"/>
  <c r="F40" i="6" s="1"/>
  <c r="D39" i="17"/>
  <c r="C40" i="6"/>
  <c r="F7" i="17"/>
  <c r="B7" i="17"/>
  <c r="I46" i="11"/>
  <c r="H46" i="11"/>
  <c r="G46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7" i="11"/>
  <c r="F46" i="11" s="1"/>
  <c r="H40" i="6"/>
  <c r="I40" i="6"/>
  <c r="C32" i="6"/>
  <c r="C32" i="17"/>
  <c r="C12" i="17"/>
  <c r="C12" i="6"/>
  <c r="C18" i="17"/>
  <c r="C18" i="6"/>
  <c r="C7" i="6"/>
  <c r="C7" i="17"/>
  <c r="C24" i="17"/>
  <c r="C24" i="6"/>
  <c r="C25" i="17"/>
  <c r="C25" i="6"/>
  <c r="C31" i="6"/>
  <c r="C31" i="17"/>
  <c r="C20" i="17"/>
  <c r="C20" i="6"/>
  <c r="C33" i="17"/>
  <c r="C33" i="6"/>
  <c r="C19" i="6"/>
  <c r="C19" i="17"/>
  <c r="C28" i="17"/>
  <c r="C28" i="6"/>
  <c r="C21" i="6"/>
  <c r="C21" i="17"/>
  <c r="C17" i="6"/>
  <c r="C17" i="17"/>
  <c r="C35" i="6"/>
  <c r="C35" i="17"/>
  <c r="C15" i="17"/>
  <c r="C15" i="6"/>
  <c r="C11" i="17"/>
  <c r="C11" i="6"/>
  <c r="C13" i="17"/>
  <c r="C13" i="6"/>
  <c r="C9" i="17"/>
  <c r="C9" i="6"/>
  <c r="C36" i="17"/>
  <c r="C36" i="6"/>
  <c r="C23" i="17"/>
  <c r="C23" i="6"/>
  <c r="C14" i="17"/>
  <c r="C14" i="6"/>
  <c r="C16" i="6"/>
  <c r="C16" i="17"/>
  <c r="C10" i="6"/>
  <c r="C10" i="17"/>
  <c r="C30" i="17"/>
  <c r="C30" i="6"/>
  <c r="C26" i="6"/>
  <c r="C26" i="17"/>
  <c r="C27" i="6"/>
  <c r="C27" i="17"/>
  <c r="C8" i="6"/>
  <c r="C8" i="17"/>
  <c r="C34" i="6"/>
  <c r="C34" i="17"/>
  <c r="C29" i="6"/>
  <c r="C29" i="17"/>
  <c r="C22" i="17"/>
  <c r="C2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300-000001000000}">
      <text>
        <r>
          <rPr>
            <b/>
            <sz val="9"/>
            <color rgb="FF000000"/>
            <rFont val="Tahoma"/>
            <family val="2"/>
            <charset val="1"/>
          </rPr>
          <t xml:space="preserve">Maria de los Angeles Barreno:
</t>
        </r>
      </text>
    </comment>
  </commentList>
</comments>
</file>

<file path=xl/sharedStrings.xml><?xml version="1.0" encoding="utf-8"?>
<sst xmlns="http://schemas.openxmlformats.org/spreadsheetml/2006/main" count="553" uniqueCount="61">
  <si>
    <t>Compania</t>
  </si>
  <si>
    <t>Trabajador</t>
  </si>
  <si>
    <t>CCO</t>
  </si>
  <si>
    <t>Desc_CCO</t>
  </si>
  <si>
    <t>Sueldo</t>
  </si>
  <si>
    <t>Cargo</t>
  </si>
  <si>
    <t>Excluidos_Horas_Ext</t>
  </si>
  <si>
    <t>Nombre</t>
  </si>
  <si>
    <t>04</t>
  </si>
  <si>
    <t>01501005</t>
  </si>
  <si>
    <t>DEPTO. SISTEMAS UIO</t>
  </si>
  <si>
    <t>ANALISTA DE MESA DE AYUDA</t>
  </si>
  <si>
    <t>SI</t>
  </si>
  <si>
    <t>DIA</t>
  </si>
  <si>
    <t>FECHA</t>
  </si>
  <si>
    <t>INGRESO</t>
  </si>
  <si>
    <t>SALIDA</t>
  </si>
  <si>
    <t>TOTAL HORAS</t>
  </si>
  <si>
    <t>Viernes</t>
  </si>
  <si>
    <t xml:space="preserve">Sabado </t>
  </si>
  <si>
    <t xml:space="preserve">Domingo </t>
  </si>
  <si>
    <t>Lunes</t>
  </si>
  <si>
    <t>Martes</t>
  </si>
  <si>
    <t>Miercoles</t>
  </si>
  <si>
    <t>ISRAEL CUESTAS 1002</t>
  </si>
  <si>
    <t>Miércoles</t>
  </si>
  <si>
    <t>Jueves</t>
  </si>
  <si>
    <t>Sábado</t>
  </si>
  <si>
    <t>Domingo</t>
  </si>
  <si>
    <t>TOTAL MAYO</t>
  </si>
  <si>
    <t>Luis Robles  1006</t>
  </si>
  <si>
    <t>CI: 093017360-4</t>
  </si>
  <si>
    <t>1721990958</t>
  </si>
  <si>
    <t>AGUIRRE DELGADO CRISTIAN ANDRES</t>
  </si>
  <si>
    <t>8 HORAS DESDE LAS 7 DE LA NOCHE HASTA CUMPLIR EL HORARIO DE TRABAJO</t>
  </si>
  <si>
    <t>PASADO LAS 8 HORAS HASTA LAS 12 DE LA NOCHE</t>
  </si>
  <si>
    <t>FUERA DEL HORARIO PASADA LOS 12 DOMINGOS Y FERIADOS</t>
  </si>
  <si>
    <t>LUNES</t>
  </si>
  <si>
    <t>MARTES</t>
  </si>
  <si>
    <t>MIÉRCOLES</t>
  </si>
  <si>
    <t>JUEVES</t>
  </si>
  <si>
    <t>VIERNES</t>
  </si>
  <si>
    <t>SÁBADO</t>
  </si>
  <si>
    <t>DOMINGO</t>
  </si>
  <si>
    <t>Marco Monta</t>
  </si>
  <si>
    <t xml:space="preserve">Melanie Reyes </t>
  </si>
  <si>
    <t>e</t>
  </si>
  <si>
    <t>Fernando Philco</t>
  </si>
  <si>
    <t>JOSE SERRANO</t>
  </si>
  <si>
    <t>Luis</t>
  </si>
  <si>
    <t>mama</t>
  </si>
  <si>
    <t xml:space="preserve">total </t>
  </si>
  <si>
    <t>Hugo Parada</t>
  </si>
  <si>
    <t>Tecnico Base</t>
  </si>
  <si>
    <t>jueves</t>
  </si>
  <si>
    <t>Isaac Gonzalez</t>
  </si>
  <si>
    <t>TOTAL NOVIMBRE - DICIEMBRE</t>
  </si>
  <si>
    <t>5 Horas</t>
  </si>
  <si>
    <t>BRYAN RODRIGUEZ</t>
  </si>
  <si>
    <t>GABRIEL BAQUERIZO</t>
  </si>
  <si>
    <t>CRISTHIAN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</si>
</sst>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;&quot; (&quot;#,##0.00\);&quot; -&quot;#\ ;@\ "/>
  </numFmts>
  <fonts count="18" x14ac:knownFonts="1">
    <font>
      <sz val="11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9"/>
      <color rgb="FF000000"/>
      <name val="Tahoma"/>
      <family val="2"/>
      <charset val="1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10"/>
      <color theme="0"/>
      <name val="Calibri"/>
      <family val="2"/>
      <charset val="1"/>
    </font>
    <font>
      <sz val="9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  <font>
      <b/>
      <sz val="16"/>
      <name val="Calibri"/>
      <family val="2"/>
    </font>
    <font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theme="0"/>
        <bgColor rgb="FFCFE7F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4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7" fillId="0" borderId="0"/>
  </cellStyleXfs>
  <cellXfs count="284">
    <xf numFmtId="0" fontId="0" fillId="0" borderId="0" xfId="0"/>
    <xf numFmtId="0" fontId="4" fillId="2" borderId="6" xfId="0" applyFont="1" applyFill="1" applyBorder="1"/>
    <xf numFmtId="2" fontId="4" fillId="2" borderId="6" xfId="0" applyNumberFormat="1" applyFont="1" applyFill="1" applyBorder="1" applyAlignment="1">
      <alignment horizontal="center"/>
    </xf>
    <xf numFmtId="164" fontId="4" fillId="2" borderId="6" xfId="1" applyFont="1" applyFill="1" applyBorder="1" applyAlignment="1">
      <alignment horizontal="center"/>
    </xf>
    <xf numFmtId="0" fontId="4" fillId="3" borderId="6" xfId="0" applyFont="1" applyFill="1" applyBorder="1"/>
    <xf numFmtId="2" fontId="4" fillId="3" borderId="6" xfId="0" applyNumberFormat="1" applyFont="1" applyFill="1" applyBorder="1" applyAlignment="1">
      <alignment horizontal="center"/>
    </xf>
    <xf numFmtId="0" fontId="0" fillId="2" borderId="0" xfId="0" applyFill="1"/>
    <xf numFmtId="15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1" fillId="2" borderId="1" xfId="1" applyFont="1" applyFill="1" applyBorder="1" applyAlignment="1">
      <alignment horizontal="center" vertical="center" wrapText="1"/>
    </xf>
    <xf numFmtId="0" fontId="2" fillId="2" borderId="3" xfId="0" applyFont="1" applyFill="1" applyBorder="1"/>
    <xf numFmtId="15" fontId="2" fillId="2" borderId="3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164" fontId="3" fillId="2" borderId="3" xfId="1" applyFont="1" applyFill="1" applyBorder="1"/>
    <xf numFmtId="15" fontId="2" fillId="2" borderId="0" xfId="0" applyNumberFormat="1" applyFont="1" applyFill="1"/>
    <xf numFmtId="14" fontId="2" fillId="2" borderId="0" xfId="0" applyNumberFormat="1" applyFont="1" applyFill="1" applyAlignment="1">
      <alignment horizontal="center"/>
    </xf>
    <xf numFmtId="164" fontId="2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0" fillId="2" borderId="0" xfId="1" applyFont="1" applyFill="1"/>
    <xf numFmtId="15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64" fontId="1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5" fontId="4" fillId="2" borderId="6" xfId="0" applyNumberFormat="1" applyFont="1" applyFill="1" applyBorder="1"/>
    <xf numFmtId="164" fontId="4" fillId="2" borderId="6" xfId="1" applyFont="1" applyFill="1" applyBorder="1"/>
    <xf numFmtId="0" fontId="4" fillId="2" borderId="0" xfId="0" applyFont="1" applyFill="1"/>
    <xf numFmtId="15" fontId="4" fillId="2" borderId="0" xfId="0" applyNumberFormat="1" applyFont="1" applyFill="1"/>
    <xf numFmtId="2" fontId="4" fillId="2" borderId="0" xfId="0" applyNumberFormat="1" applyFont="1" applyFill="1" applyAlignment="1">
      <alignment horizontal="center"/>
    </xf>
    <xf numFmtId="164" fontId="4" fillId="2" borderId="0" xfId="1" applyFont="1" applyFill="1"/>
    <xf numFmtId="164" fontId="5" fillId="2" borderId="0" xfId="0" applyNumberFormat="1" applyFont="1" applyFill="1" applyAlignment="1">
      <alignment horizontal="center"/>
    </xf>
    <xf numFmtId="164" fontId="5" fillId="2" borderId="0" xfId="1" applyFont="1" applyFill="1" applyAlignment="1">
      <alignment horizontal="center"/>
    </xf>
    <xf numFmtId="15" fontId="0" fillId="2" borderId="0" xfId="0" applyNumberFormat="1" applyFill="1"/>
    <xf numFmtId="0" fontId="0" fillId="2" borderId="0" xfId="0" applyFill="1" applyAlignment="1">
      <alignment horizontal="center"/>
    </xf>
    <xf numFmtId="9" fontId="0" fillId="2" borderId="0" xfId="0" applyNumberFormat="1" applyFill="1"/>
    <xf numFmtId="0" fontId="2" fillId="2" borderId="0" xfId="0" applyFont="1" applyFill="1"/>
    <xf numFmtId="0" fontId="4" fillId="2" borderId="5" xfId="0" applyFont="1" applyFill="1" applyBorder="1" applyAlignment="1">
      <alignment horizontal="center"/>
    </xf>
    <xf numFmtId="15" fontId="5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5" fontId="4" fillId="3" borderId="6" xfId="0" applyNumberFormat="1" applyFont="1" applyFill="1" applyBorder="1"/>
    <xf numFmtId="14" fontId="1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/>
    <xf numFmtId="14" fontId="2" fillId="0" borderId="3" xfId="0" applyNumberFormat="1" applyFont="1" applyBorder="1" applyAlignment="1">
      <alignment horizontal="center"/>
    </xf>
    <xf numFmtId="164" fontId="3" fillId="0" borderId="3" xfId="1" applyFont="1" applyBorder="1"/>
    <xf numFmtId="164" fontId="2" fillId="0" borderId="3" xfId="1" applyFont="1" applyBorder="1"/>
    <xf numFmtId="15" fontId="2" fillId="0" borderId="0" xfId="0" applyNumberFormat="1" applyFont="1"/>
    <xf numFmtId="14" fontId="2" fillId="0" borderId="0" xfId="0" applyNumberFormat="1" applyFont="1" applyAlignment="1">
      <alignment horizontal="center"/>
    </xf>
    <xf numFmtId="164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Font="1"/>
    <xf numFmtId="164" fontId="0" fillId="0" borderId="0" xfId="1" applyFont="1"/>
    <xf numFmtId="15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15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6" xfId="0" applyFont="1" applyBorder="1"/>
    <xf numFmtId="15" fontId="4" fillId="0" borderId="6" xfId="0" applyNumberFormat="1" applyFont="1" applyBorder="1"/>
    <xf numFmtId="164" fontId="4" fillId="0" borderId="6" xfId="1" applyFont="1" applyBorder="1" applyAlignment="1">
      <alignment horizontal="center"/>
    </xf>
    <xf numFmtId="164" fontId="4" fillId="0" borderId="6" xfId="1" applyFont="1" applyBorder="1"/>
    <xf numFmtId="0" fontId="4" fillId="0" borderId="0" xfId="0" applyFont="1"/>
    <xf numFmtId="15" fontId="4" fillId="0" borderId="0" xfId="0" applyNumberFormat="1" applyFont="1"/>
    <xf numFmtId="2" fontId="4" fillId="0" borderId="0" xfId="0" applyNumberFormat="1" applyFont="1" applyAlignment="1">
      <alignment horizontal="center"/>
    </xf>
    <xf numFmtId="164" fontId="4" fillId="0" borderId="0" xfId="1" applyFont="1"/>
    <xf numFmtId="164" fontId="5" fillId="0" borderId="0" xfId="0" applyNumberFormat="1" applyFont="1" applyAlignment="1">
      <alignment horizontal="center"/>
    </xf>
    <xf numFmtId="164" fontId="5" fillId="0" borderId="0" xfId="1" applyFont="1" applyAlignment="1">
      <alignment horizontal="center"/>
    </xf>
    <xf numFmtId="164" fontId="4" fillId="0" borderId="0" xfId="1" applyFont="1" applyAlignment="1">
      <alignment horizontal="center"/>
    </xf>
    <xf numFmtId="0" fontId="2" fillId="0" borderId="3" xfId="0" applyFont="1" applyBorder="1" applyAlignment="1">
      <alignment horizontal="center"/>
    </xf>
    <xf numFmtId="20" fontId="0" fillId="0" borderId="0" xfId="0" applyNumberFormat="1"/>
    <xf numFmtId="2" fontId="8" fillId="0" borderId="6" xfId="0" applyNumberFormat="1" applyFont="1" applyBorder="1" applyAlignment="1">
      <alignment horizontal="center"/>
    </xf>
    <xf numFmtId="2" fontId="4" fillId="5" borderId="6" xfId="0" applyNumberFormat="1" applyFont="1" applyFill="1" applyBorder="1" applyAlignment="1">
      <alignment horizontal="center"/>
    </xf>
    <xf numFmtId="2" fontId="4" fillId="6" borderId="6" xfId="0" applyNumberFormat="1" applyFont="1" applyFill="1" applyBorder="1" applyAlignment="1">
      <alignment horizontal="center"/>
    </xf>
    <xf numFmtId="164" fontId="4" fillId="6" borderId="6" xfId="1" applyFont="1" applyFill="1" applyBorder="1" applyAlignment="1">
      <alignment horizontal="center"/>
    </xf>
    <xf numFmtId="0" fontId="4" fillId="6" borderId="6" xfId="0" applyFont="1" applyFill="1" applyBorder="1"/>
    <xf numFmtId="15" fontId="4" fillId="6" borderId="6" xfId="0" applyNumberFormat="1" applyFont="1" applyFill="1" applyBorder="1"/>
    <xf numFmtId="0" fontId="4" fillId="5" borderId="6" xfId="0" applyFont="1" applyFill="1" applyBorder="1"/>
    <xf numFmtId="15" fontId="4" fillId="5" borderId="6" xfId="0" applyNumberFormat="1" applyFont="1" applyFill="1" applyBorder="1"/>
    <xf numFmtId="164" fontId="4" fillId="5" borderId="6" xfId="1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164" fontId="4" fillId="0" borderId="7" xfId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4" fontId="5" fillId="0" borderId="12" xfId="1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15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0" fontId="4" fillId="0" borderId="7" xfId="0" applyFont="1" applyBorder="1"/>
    <xf numFmtId="15" fontId="4" fillId="0" borderId="7" xfId="0" applyNumberFormat="1" applyFont="1" applyBorder="1"/>
    <xf numFmtId="164" fontId="4" fillId="0" borderId="7" xfId="1" applyFont="1" applyBorder="1"/>
    <xf numFmtId="0" fontId="4" fillId="0" borderId="17" xfId="0" applyFont="1" applyBorder="1" applyAlignment="1">
      <alignment horizontal="left"/>
    </xf>
    <xf numFmtId="2" fontId="4" fillId="0" borderId="17" xfId="0" applyNumberFormat="1" applyFont="1" applyBorder="1" applyAlignment="1">
      <alignment horizontal="center"/>
    </xf>
    <xf numFmtId="164" fontId="4" fillId="0" borderId="17" xfId="1" applyFont="1" applyBorder="1" applyAlignment="1">
      <alignment horizontal="center"/>
    </xf>
    <xf numFmtId="2" fontId="4" fillId="0" borderId="18" xfId="0" applyNumberFormat="1" applyFont="1" applyBorder="1" applyAlignment="1">
      <alignment horizontal="center"/>
    </xf>
    <xf numFmtId="164" fontId="4" fillId="0" borderId="18" xfId="1" applyFont="1" applyBorder="1" applyAlignment="1">
      <alignment horizontal="center"/>
    </xf>
    <xf numFmtId="164" fontId="2" fillId="0" borderId="18" xfId="1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164" fontId="2" fillId="0" borderId="18" xfId="1" applyFont="1" applyBorder="1"/>
    <xf numFmtId="2" fontId="4" fillId="7" borderId="18" xfId="0" applyNumberFormat="1" applyFont="1" applyFill="1" applyBorder="1" applyAlignment="1">
      <alignment horizontal="center"/>
    </xf>
    <xf numFmtId="164" fontId="4" fillId="7" borderId="18" xfId="1" applyFont="1" applyFill="1" applyBorder="1" applyAlignment="1">
      <alignment horizontal="center"/>
    </xf>
    <xf numFmtId="164" fontId="2" fillId="7" borderId="18" xfId="1" applyFont="1" applyFill="1" applyBorder="1" applyAlignment="1">
      <alignment horizontal="center"/>
    </xf>
    <xf numFmtId="0" fontId="4" fillId="0" borderId="18" xfId="0" applyFont="1" applyBorder="1"/>
    <xf numFmtId="15" fontId="4" fillId="0" borderId="18" xfId="0" applyNumberFormat="1" applyFont="1" applyBorder="1"/>
    <xf numFmtId="0" fontId="4" fillId="7" borderId="18" xfId="0" applyFont="1" applyFill="1" applyBorder="1"/>
    <xf numFmtId="15" fontId="4" fillId="7" borderId="18" xfId="0" applyNumberFormat="1" applyFont="1" applyFill="1" applyBorder="1"/>
    <xf numFmtId="2" fontId="4" fillId="0" borderId="21" xfId="0" applyNumberFormat="1" applyFont="1" applyBorder="1" applyAlignment="1">
      <alignment horizontal="center"/>
    </xf>
    <xf numFmtId="164" fontId="4" fillId="0" borderId="21" xfId="1" applyFont="1" applyBorder="1" applyAlignment="1">
      <alignment horizontal="center"/>
    </xf>
    <xf numFmtId="0" fontId="4" fillId="7" borderId="19" xfId="0" applyFont="1" applyFill="1" applyBorder="1"/>
    <xf numFmtId="15" fontId="4" fillId="7" borderId="19" xfId="0" applyNumberFormat="1" applyFont="1" applyFill="1" applyBorder="1"/>
    <xf numFmtId="2" fontId="4" fillId="7" borderId="19" xfId="0" applyNumberFormat="1" applyFont="1" applyFill="1" applyBorder="1" applyAlignment="1">
      <alignment horizontal="center"/>
    </xf>
    <xf numFmtId="164" fontId="4" fillId="7" borderId="19" xfId="1" applyFont="1" applyFill="1" applyBorder="1" applyAlignment="1">
      <alignment horizontal="center"/>
    </xf>
    <xf numFmtId="0" fontId="4" fillId="7" borderId="17" xfId="0" applyFont="1" applyFill="1" applyBorder="1"/>
    <xf numFmtId="15" fontId="4" fillId="7" borderId="17" xfId="0" applyNumberFormat="1" applyFont="1" applyFill="1" applyBorder="1"/>
    <xf numFmtId="2" fontId="4" fillId="7" borderId="17" xfId="0" applyNumberFormat="1" applyFont="1" applyFill="1" applyBorder="1" applyAlignment="1">
      <alignment horizontal="center"/>
    </xf>
    <xf numFmtId="164" fontId="4" fillId="7" borderId="17" xfId="1" applyFont="1" applyFill="1" applyBorder="1" applyAlignment="1">
      <alignment horizontal="center"/>
    </xf>
    <xf numFmtId="164" fontId="2" fillId="0" borderId="21" xfId="1" applyFont="1" applyBorder="1" applyAlignment="1">
      <alignment horizontal="center"/>
    </xf>
    <xf numFmtId="15" fontId="9" fillId="0" borderId="1" xfId="0" applyNumberFormat="1" applyFont="1" applyBorder="1" applyAlignment="1">
      <alignment horizontal="center" vertical="center" wrapText="1"/>
    </xf>
    <xf numFmtId="15" fontId="9" fillId="0" borderId="3" xfId="0" applyNumberFormat="1" applyFont="1" applyBorder="1" applyAlignment="1">
      <alignment horizontal="center"/>
    </xf>
    <xf numFmtId="15" fontId="9" fillId="0" borderId="0" xfId="0" applyNumberFormat="1" applyFont="1"/>
    <xf numFmtId="15" fontId="9" fillId="0" borderId="0" xfId="0" applyNumberFormat="1" applyFont="1" applyAlignment="1">
      <alignment horizontal="center"/>
    </xf>
    <xf numFmtId="15" fontId="10" fillId="0" borderId="12" xfId="0" applyNumberFormat="1" applyFont="1" applyBorder="1" applyAlignment="1">
      <alignment horizontal="center"/>
    </xf>
    <xf numFmtId="15" fontId="10" fillId="0" borderId="17" xfId="0" applyNumberFormat="1" applyFont="1" applyBorder="1" applyAlignment="1">
      <alignment horizontal="center"/>
    </xf>
    <xf numFmtId="15" fontId="10" fillId="2" borderId="14" xfId="0" applyNumberFormat="1" applyFont="1" applyFill="1" applyBorder="1" applyAlignment="1">
      <alignment horizontal="center"/>
    </xf>
    <xf numFmtId="0" fontId="4" fillId="0" borderId="21" xfId="0" applyFont="1" applyBorder="1" applyAlignment="1">
      <alignment horizontal="left"/>
    </xf>
    <xf numFmtId="15" fontId="10" fillId="0" borderId="21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15" fontId="10" fillId="0" borderId="18" xfId="0" applyNumberFormat="1" applyFont="1" applyBorder="1" applyAlignment="1">
      <alignment horizontal="center"/>
    </xf>
    <xf numFmtId="0" fontId="4" fillId="7" borderId="18" xfId="0" applyFont="1" applyFill="1" applyBorder="1" applyAlignment="1">
      <alignment horizontal="left"/>
    </xf>
    <xf numFmtId="15" fontId="10" fillId="7" borderId="18" xfId="0" applyNumberFormat="1" applyFont="1" applyFill="1" applyBorder="1" applyAlignment="1">
      <alignment horizontal="center"/>
    </xf>
    <xf numFmtId="0" fontId="4" fillId="0" borderId="22" xfId="0" applyFont="1" applyBorder="1" applyAlignment="1">
      <alignment horizontal="left"/>
    </xf>
    <xf numFmtId="15" fontId="10" fillId="0" borderId="22" xfId="0" applyNumberFormat="1" applyFont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164" fontId="4" fillId="0" borderId="22" xfId="1" applyFont="1" applyBorder="1" applyAlignment="1">
      <alignment horizontal="center"/>
    </xf>
    <xf numFmtId="164" fontId="2" fillId="0" borderId="22" xfId="1" applyFont="1" applyBorder="1" applyAlignment="1">
      <alignment horizontal="center"/>
    </xf>
    <xf numFmtId="0" fontId="4" fillId="0" borderId="23" xfId="0" applyFont="1" applyBorder="1" applyAlignment="1">
      <alignment horizontal="left"/>
    </xf>
    <xf numFmtId="15" fontId="10" fillId="0" borderId="23" xfId="0" applyNumberFormat="1" applyFont="1" applyBorder="1" applyAlignment="1">
      <alignment horizontal="center"/>
    </xf>
    <xf numFmtId="2" fontId="4" fillId="0" borderId="23" xfId="0" applyNumberFormat="1" applyFont="1" applyBorder="1" applyAlignment="1">
      <alignment horizontal="center"/>
    </xf>
    <xf numFmtId="164" fontId="4" fillId="0" borderId="23" xfId="1" applyFont="1" applyBorder="1" applyAlignment="1">
      <alignment horizontal="center"/>
    </xf>
    <xf numFmtId="0" fontId="2" fillId="0" borderId="23" xfId="0" applyFont="1" applyBorder="1" applyAlignment="1">
      <alignment horizontal="left"/>
    </xf>
    <xf numFmtId="164" fontId="2" fillId="0" borderId="23" xfId="1" applyFont="1" applyBorder="1"/>
    <xf numFmtId="0" fontId="4" fillId="7" borderId="22" xfId="0" applyFont="1" applyFill="1" applyBorder="1" applyAlignment="1">
      <alignment horizontal="left"/>
    </xf>
    <xf numFmtId="15" fontId="10" fillId="7" borderId="22" xfId="0" applyNumberFormat="1" applyFont="1" applyFill="1" applyBorder="1" applyAlignment="1">
      <alignment horizontal="center"/>
    </xf>
    <xf numFmtId="2" fontId="4" fillId="7" borderId="22" xfId="0" applyNumberFormat="1" applyFont="1" applyFill="1" applyBorder="1" applyAlignment="1">
      <alignment horizontal="center"/>
    </xf>
    <xf numFmtId="164" fontId="4" fillId="7" borderId="22" xfId="1" applyFont="1" applyFill="1" applyBorder="1" applyAlignment="1">
      <alignment horizontal="center"/>
    </xf>
    <xf numFmtId="0" fontId="2" fillId="7" borderId="22" xfId="0" applyFont="1" applyFill="1" applyBorder="1" applyAlignment="1">
      <alignment horizontal="left"/>
    </xf>
    <xf numFmtId="164" fontId="2" fillId="7" borderId="22" xfId="1" applyFont="1" applyFill="1" applyBorder="1"/>
    <xf numFmtId="164" fontId="2" fillId="0" borderId="23" xfId="1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164" fontId="2" fillId="0" borderId="22" xfId="1" applyFont="1" applyBorder="1"/>
    <xf numFmtId="0" fontId="1" fillId="0" borderId="1" xfId="0" applyFont="1" applyBorder="1" applyAlignment="1">
      <alignment horizontal="center" vertical="center" wrapText="1"/>
    </xf>
    <xf numFmtId="164" fontId="4" fillId="0" borderId="0" xfId="1" applyFont="1" applyAlignment="1">
      <alignment horizontal="left"/>
    </xf>
    <xf numFmtId="15" fontId="2" fillId="0" borderId="0" xfId="0" applyNumberFormat="1" applyFont="1" applyAlignment="1">
      <alignment horizontal="center"/>
    </xf>
    <xf numFmtId="15" fontId="2" fillId="0" borderId="1" xfId="0" applyNumberFormat="1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64" fontId="1" fillId="0" borderId="1" xfId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12" fillId="0" borderId="3" xfId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8" borderId="38" xfId="0" applyFont="1" applyFill="1" applyBorder="1" applyAlignment="1">
      <alignment horizontal="left"/>
    </xf>
    <xf numFmtId="2" fontId="2" fillId="8" borderId="38" xfId="0" applyNumberFormat="1" applyFont="1" applyFill="1" applyBorder="1" applyAlignment="1">
      <alignment horizontal="center"/>
    </xf>
    <xf numFmtId="164" fontId="2" fillId="8" borderId="38" xfId="1" applyFont="1" applyFill="1" applyBorder="1" applyAlignment="1">
      <alignment horizontal="center"/>
    </xf>
    <xf numFmtId="2" fontId="2" fillId="8" borderId="38" xfId="0" applyNumberFormat="1" applyFont="1" applyFill="1" applyBorder="1" applyAlignment="1">
      <alignment horizontal="center" vertical="center"/>
    </xf>
    <xf numFmtId="0" fontId="2" fillId="8" borderId="37" xfId="0" applyFont="1" applyFill="1" applyBorder="1" applyAlignment="1">
      <alignment horizontal="left"/>
    </xf>
    <xf numFmtId="2" fontId="2" fillId="8" borderId="37" xfId="0" applyNumberFormat="1" applyFont="1" applyFill="1" applyBorder="1" applyAlignment="1">
      <alignment horizontal="center"/>
    </xf>
    <xf numFmtId="164" fontId="2" fillId="8" borderId="37" xfId="1" applyFont="1" applyFill="1" applyBorder="1" applyAlignment="1">
      <alignment horizontal="center"/>
    </xf>
    <xf numFmtId="0" fontId="2" fillId="8" borderId="39" xfId="0" applyFont="1" applyFill="1" applyBorder="1" applyAlignment="1">
      <alignment horizontal="left"/>
    </xf>
    <xf numFmtId="2" fontId="2" fillId="8" borderId="39" xfId="0" applyNumberFormat="1" applyFont="1" applyFill="1" applyBorder="1" applyAlignment="1">
      <alignment horizontal="center"/>
    </xf>
    <xf numFmtId="164" fontId="2" fillId="8" borderId="39" xfId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2" fillId="0" borderId="3" xfId="1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15" fontId="8" fillId="0" borderId="28" xfId="0" applyNumberFormat="1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64" fontId="5" fillId="0" borderId="26" xfId="1" applyFont="1" applyBorder="1" applyAlignment="1">
      <alignment horizontal="center"/>
    </xf>
    <xf numFmtId="164" fontId="5" fillId="0" borderId="30" xfId="1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32" xfId="0" applyBorder="1" applyAlignment="1">
      <alignment horizontal="center"/>
    </xf>
    <xf numFmtId="15" fontId="2" fillId="8" borderId="38" xfId="0" applyNumberFormat="1" applyFont="1" applyFill="1" applyBorder="1" applyAlignment="1">
      <alignment horizontal="center"/>
    </xf>
    <xf numFmtId="15" fontId="2" fillId="8" borderId="37" xfId="0" applyNumberFormat="1" applyFont="1" applyFill="1" applyBorder="1" applyAlignment="1">
      <alignment horizontal="center"/>
    </xf>
    <xf numFmtId="15" fontId="2" fillId="8" borderId="39" xfId="0" applyNumberFormat="1" applyFont="1" applyFill="1" applyBorder="1" applyAlignment="1">
      <alignment horizontal="center"/>
    </xf>
    <xf numFmtId="164" fontId="13" fillId="8" borderId="38" xfId="1" applyFont="1" applyFill="1" applyBorder="1"/>
    <xf numFmtId="2" fontId="2" fillId="8" borderId="38" xfId="0" applyNumberFormat="1" applyFont="1" applyFill="1" applyBorder="1"/>
    <xf numFmtId="2" fontId="2" fillId="8" borderId="39" xfId="0" applyNumberFormat="1" applyFont="1" applyFill="1" applyBorder="1" applyAlignment="1">
      <alignment horizontal="center" vertical="center"/>
    </xf>
    <xf numFmtId="2" fontId="2" fillId="8" borderId="37" xfId="0" applyNumberFormat="1" applyFont="1" applyFill="1" applyBorder="1" applyAlignment="1">
      <alignment horizontal="center" vertical="center"/>
    </xf>
    <xf numFmtId="164" fontId="2" fillId="8" borderId="38" xfId="1" applyFont="1" applyFill="1" applyBorder="1" applyAlignment="1">
      <alignment horizontal="center" vertical="center"/>
    </xf>
    <xf numFmtId="164" fontId="13" fillId="8" borderId="37" xfId="1" applyFont="1" applyFill="1" applyBorder="1"/>
    <xf numFmtId="164" fontId="14" fillId="8" borderId="38" xfId="1" applyFont="1" applyFill="1" applyBorder="1" applyAlignment="1">
      <alignment horizontal="center"/>
    </xf>
    <xf numFmtId="164" fontId="0" fillId="0" borderId="0" xfId="1" applyFont="1" applyAlignment="1">
      <alignment horizontal="center"/>
    </xf>
    <xf numFmtId="0" fontId="4" fillId="0" borderId="25" xfId="0" applyFont="1" applyBorder="1" applyAlignment="1">
      <alignment horizontal="left"/>
    </xf>
    <xf numFmtId="164" fontId="5" fillId="0" borderId="24" xfId="0" applyNumberFormat="1" applyFont="1" applyBorder="1" applyAlignment="1">
      <alignment horizontal="center"/>
    </xf>
    <xf numFmtId="164" fontId="5" fillId="0" borderId="24" xfId="1" applyFont="1" applyBorder="1" applyAlignment="1">
      <alignment horizontal="center"/>
    </xf>
    <xf numFmtId="164" fontId="5" fillId="0" borderId="34" xfId="1" applyFont="1" applyBorder="1" applyAlignment="1">
      <alignment horizontal="center"/>
    </xf>
    <xf numFmtId="164" fontId="13" fillId="8" borderId="38" xfId="1" applyFont="1" applyFill="1" applyBorder="1" applyAlignment="1">
      <alignment horizontal="center"/>
    </xf>
    <xf numFmtId="2" fontId="15" fillId="8" borderId="38" xfId="0" applyNumberFormat="1" applyFont="1" applyFill="1" applyBorder="1" applyAlignment="1">
      <alignment horizontal="center" vertical="center"/>
    </xf>
    <xf numFmtId="2" fontId="9" fillId="8" borderId="38" xfId="0" applyNumberFormat="1" applyFont="1" applyFill="1" applyBorder="1" applyAlignment="1">
      <alignment horizontal="center" vertical="center"/>
    </xf>
    <xf numFmtId="0" fontId="2" fillId="8" borderId="38" xfId="0" applyFont="1" applyFill="1" applyBorder="1"/>
    <xf numFmtId="0" fontId="2" fillId="0" borderId="37" xfId="0" applyFont="1" applyBorder="1" applyAlignment="1">
      <alignment horizontal="left"/>
    </xf>
    <xf numFmtId="15" fontId="2" fillId="0" borderId="37" xfId="0" applyNumberFormat="1" applyFont="1" applyBorder="1" applyAlignment="1">
      <alignment horizontal="center"/>
    </xf>
    <xf numFmtId="164" fontId="13" fillId="0" borderId="37" xfId="1" applyFont="1" applyBorder="1"/>
    <xf numFmtId="164" fontId="2" fillId="0" borderId="37" xfId="1" applyFont="1" applyBorder="1" applyAlignment="1">
      <alignment horizontal="center"/>
    </xf>
    <xf numFmtId="0" fontId="2" fillId="0" borderId="38" xfId="0" applyFont="1" applyBorder="1" applyAlignment="1">
      <alignment horizontal="left"/>
    </xf>
    <xf numFmtId="15" fontId="2" fillId="0" borderId="38" xfId="0" applyNumberFormat="1" applyFont="1" applyBorder="1" applyAlignment="1">
      <alignment horizontal="center"/>
    </xf>
    <xf numFmtId="164" fontId="2" fillId="0" borderId="38" xfId="1" applyFont="1" applyBorder="1" applyAlignment="1">
      <alignment horizontal="center"/>
    </xf>
    <xf numFmtId="2" fontId="2" fillId="0" borderId="38" xfId="0" applyNumberFormat="1" applyFont="1" applyBorder="1"/>
    <xf numFmtId="2" fontId="2" fillId="0" borderId="38" xfId="0" applyNumberFormat="1" applyFont="1" applyBorder="1" applyAlignment="1">
      <alignment horizontal="center"/>
    </xf>
    <xf numFmtId="0" fontId="2" fillId="0" borderId="39" xfId="0" applyFont="1" applyBorder="1" applyAlignment="1">
      <alignment horizontal="left"/>
    </xf>
    <xf numFmtId="2" fontId="2" fillId="0" borderId="37" xfId="0" applyNumberFormat="1" applyFont="1" applyBorder="1" applyAlignment="1">
      <alignment horizontal="center"/>
    </xf>
    <xf numFmtId="2" fontId="2" fillId="0" borderId="39" xfId="0" applyNumberFormat="1" applyFont="1" applyBorder="1" applyAlignment="1">
      <alignment horizontal="center"/>
    </xf>
    <xf numFmtId="164" fontId="2" fillId="0" borderId="39" xfId="1" applyFont="1" applyBorder="1" applyAlignment="1">
      <alignment horizontal="center"/>
    </xf>
    <xf numFmtId="164" fontId="2" fillId="0" borderId="37" xfId="1" applyFont="1" applyBorder="1" applyAlignment="1">
      <alignment horizontal="center" vertical="center"/>
    </xf>
    <xf numFmtId="164" fontId="13" fillId="0" borderId="38" xfId="1" applyFont="1" applyBorder="1"/>
    <xf numFmtId="2" fontId="2" fillId="0" borderId="39" xfId="0" applyNumberFormat="1" applyFont="1" applyBorder="1" applyAlignment="1">
      <alignment horizontal="center" vertical="center"/>
    </xf>
    <xf numFmtId="2" fontId="2" fillId="0" borderId="37" xfId="0" applyNumberFormat="1" applyFont="1" applyBorder="1" applyAlignment="1">
      <alignment horizontal="center" vertical="center"/>
    </xf>
    <xf numFmtId="2" fontId="2" fillId="0" borderId="38" xfId="0" applyNumberFormat="1" applyFont="1" applyBorder="1" applyAlignment="1">
      <alignment horizontal="center" vertical="center"/>
    </xf>
    <xf numFmtId="164" fontId="14" fillId="0" borderId="38" xfId="1" applyFont="1" applyBorder="1" applyAlignment="1">
      <alignment horizontal="center"/>
    </xf>
    <xf numFmtId="0" fontId="2" fillId="0" borderId="38" xfId="0" applyFont="1" applyBorder="1"/>
    <xf numFmtId="164" fontId="2" fillId="0" borderId="38" xfId="1" applyFont="1" applyBorder="1" applyAlignment="1">
      <alignment horizontal="center" vertical="center"/>
    </xf>
    <xf numFmtId="164" fontId="13" fillId="0" borderId="38" xfId="1" applyFont="1" applyBorder="1" applyAlignment="1">
      <alignment horizontal="center"/>
    </xf>
    <xf numFmtId="164" fontId="2" fillId="0" borderId="38" xfId="1" applyFont="1" applyBorder="1"/>
    <xf numFmtId="2" fontId="2" fillId="0" borderId="40" xfId="0" applyNumberFormat="1" applyFont="1" applyBorder="1" applyAlignment="1">
      <alignment horizontal="center"/>
    </xf>
    <xf numFmtId="15" fontId="2" fillId="0" borderId="39" xfId="0" applyNumberFormat="1" applyFont="1" applyBorder="1" applyAlignment="1">
      <alignment horizontal="center"/>
    </xf>
    <xf numFmtId="2" fontId="2" fillId="0" borderId="37" xfId="0" applyNumberFormat="1" applyFont="1" applyBorder="1"/>
    <xf numFmtId="2" fontId="9" fillId="0" borderId="37" xfId="0" applyNumberFormat="1" applyFont="1" applyBorder="1" applyAlignment="1">
      <alignment horizontal="center" vertical="center"/>
    </xf>
    <xf numFmtId="2" fontId="15" fillId="0" borderId="37" xfId="0" applyNumberFormat="1" applyFont="1" applyBorder="1" applyAlignment="1">
      <alignment horizontal="center" vertical="center"/>
    </xf>
    <xf numFmtId="2" fontId="9" fillId="0" borderId="39" xfId="0" applyNumberFormat="1" applyFont="1" applyBorder="1" applyAlignment="1">
      <alignment horizontal="center" vertical="center"/>
    </xf>
    <xf numFmtId="2" fontId="2" fillId="0" borderId="41" xfId="0" applyNumberFormat="1" applyFont="1" applyBorder="1" applyAlignment="1">
      <alignment horizontal="center"/>
    </xf>
    <xf numFmtId="2" fontId="15" fillId="8" borderId="39" xfId="0" applyNumberFormat="1" applyFont="1" applyFill="1" applyBorder="1" applyAlignment="1">
      <alignment vertical="center"/>
    </xf>
    <xf numFmtId="2" fontId="9" fillId="0" borderId="38" xfId="0" applyNumberFormat="1" applyFont="1" applyBorder="1" applyAlignment="1">
      <alignment horizontal="center"/>
    </xf>
    <xf numFmtId="2" fontId="9" fillId="0" borderId="38" xfId="0" applyNumberFormat="1" applyFont="1" applyBorder="1" applyAlignment="1">
      <alignment horizontal="center" vertical="center"/>
    </xf>
    <xf numFmtId="2" fontId="9" fillId="8" borderId="37" xfId="0" applyNumberFormat="1" applyFont="1" applyFill="1" applyBorder="1" applyAlignment="1">
      <alignment horizontal="center" vertical="center"/>
    </xf>
    <xf numFmtId="2" fontId="2" fillId="8" borderId="37" xfId="0" applyNumberFormat="1" applyFont="1" applyFill="1" applyBorder="1"/>
    <xf numFmtId="164" fontId="2" fillId="8" borderId="38" xfId="1" applyFont="1" applyFill="1" applyBorder="1"/>
    <xf numFmtId="0" fontId="9" fillId="0" borderId="38" xfId="0" applyFont="1" applyBorder="1" applyAlignment="1">
      <alignment horizontal="left"/>
    </xf>
    <xf numFmtId="15" fontId="9" fillId="0" borderId="38" xfId="0" applyNumberFormat="1" applyFont="1" applyBorder="1" applyAlignment="1">
      <alignment horizontal="center"/>
    </xf>
    <xf numFmtId="0" fontId="9" fillId="0" borderId="39" xfId="0" applyFont="1" applyBorder="1" applyAlignment="1">
      <alignment horizontal="left"/>
    </xf>
    <xf numFmtId="15" fontId="9" fillId="0" borderId="39" xfId="0" applyNumberFormat="1" applyFont="1" applyBorder="1" applyAlignment="1">
      <alignment horizontal="center"/>
    </xf>
    <xf numFmtId="2" fontId="9" fillId="8" borderId="37" xfId="0" applyNumberFormat="1" applyFont="1" applyFill="1" applyBorder="1" applyAlignment="1">
      <alignment vertical="center"/>
    </xf>
    <xf numFmtId="2" fontId="17" fillId="8" borderId="37" xfId="0" applyNumberFormat="1" applyFont="1" applyFill="1" applyBorder="1" applyAlignment="1">
      <alignment vertical="center"/>
    </xf>
    <xf numFmtId="2" fontId="16" fillId="8" borderId="39" xfId="0" applyNumberFormat="1" applyFont="1" applyFill="1" applyBorder="1" applyAlignment="1">
      <alignment vertical="center"/>
    </xf>
    <xf numFmtId="2" fontId="2" fillId="8" borderId="40" xfId="0" applyNumberFormat="1" applyFont="1" applyFill="1" applyBorder="1" applyAlignment="1">
      <alignment horizontal="center"/>
    </xf>
    <xf numFmtId="164" fontId="2" fillId="0" borderId="39" xfId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64" fontId="13" fillId="8" borderId="38" xfId="1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15" fontId="5" fillId="0" borderId="0" xfId="0" applyNumberFormat="1" applyFont="1" applyAlignment="1">
      <alignment horizontal="center"/>
    </xf>
    <xf numFmtId="164" fontId="1" fillId="0" borderId="1" xfId="1" applyFont="1" applyBorder="1" applyAlignment="1">
      <alignment horizontal="center" vertical="center" wrapText="1"/>
    </xf>
    <xf numFmtId="164" fontId="2" fillId="0" borderId="3" xfId="1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15" fontId="5" fillId="0" borderId="33" xfId="0" applyNumberFormat="1" applyFont="1" applyBorder="1" applyAlignment="1">
      <alignment horizontal="center"/>
    </xf>
    <xf numFmtId="15" fontId="5" fillId="0" borderId="35" xfId="0" applyNumberFormat="1" applyFont="1" applyBorder="1" applyAlignment="1">
      <alignment horizontal="center"/>
    </xf>
    <xf numFmtId="15" fontId="5" fillId="0" borderId="36" xfId="0" applyNumberFormat="1" applyFont="1" applyBorder="1" applyAlignment="1">
      <alignment horizontal="center"/>
    </xf>
    <xf numFmtId="0" fontId="2" fillId="2" borderId="26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/>
    </xf>
    <xf numFmtId="15" fontId="5" fillId="2" borderId="0" xfId="0" applyNumberFormat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3CAFF"/>
      <rgbColor rgb="FF993366"/>
      <rgbColor rgb="FFFFFFCC"/>
      <rgbColor rgb="FFCFE7F5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DADE7"/>
      <color rgb="FF0CF5E9"/>
      <color rgb="FFF77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6146" name="shapetype_202" hidden="1">
          <a:extLst>
            <a:ext uri="{FF2B5EF4-FFF2-40B4-BE49-F238E27FC236}">
              <a16:creationId xmlns:a16="http://schemas.microsoft.com/office/drawing/2014/main" id="{00000000-0008-0000-0500-000002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501870</xdr:colOff>
      <xdr:row>5</xdr:row>
      <xdr:rowOff>175680</xdr:rowOff>
    </xdr:from>
    <xdr:to>
      <xdr:col>1</xdr:col>
      <xdr:colOff>3870</xdr:colOff>
      <xdr:row>12</xdr:row>
      <xdr:rowOff>48240</xdr:rowOff>
    </xdr:to>
    <xdr:sp macro="" textlink="">
      <xdr:nvSpPr>
        <xdr:cNvPr id="61" name="CustomShape 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520920" y="1442160"/>
          <a:ext cx="111600" cy="12157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491760</xdr:colOff>
      <xdr:row>27</xdr:row>
      <xdr:rowOff>4320</xdr:rowOff>
    </xdr:from>
    <xdr:to>
      <xdr:col>1</xdr:col>
      <xdr:colOff>3285</xdr:colOff>
      <xdr:row>33</xdr:row>
      <xdr:rowOff>77040</xdr:rowOff>
    </xdr:to>
    <xdr:sp macro="" textlink="">
      <xdr:nvSpPr>
        <xdr:cNvPr id="62" name="CustomShape 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491760" y="5471640"/>
          <a:ext cx="111600" cy="12157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501840</xdr:colOff>
      <xdr:row>20</xdr:row>
      <xdr:rowOff>52200</xdr:rowOff>
    </xdr:from>
    <xdr:to>
      <xdr:col>1</xdr:col>
      <xdr:colOff>3840</xdr:colOff>
      <xdr:row>26</xdr:row>
      <xdr:rowOff>125280</xdr:rowOff>
    </xdr:to>
    <xdr:sp macro="" textlink="">
      <xdr:nvSpPr>
        <xdr:cNvPr id="63" name="CustomShape 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501840" y="4185720"/>
          <a:ext cx="11160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501840</xdr:colOff>
      <xdr:row>13</xdr:row>
      <xdr:rowOff>23040</xdr:rowOff>
    </xdr:from>
    <xdr:to>
      <xdr:col>1</xdr:col>
      <xdr:colOff>3840</xdr:colOff>
      <xdr:row>19</xdr:row>
      <xdr:rowOff>96120</xdr:rowOff>
    </xdr:to>
    <xdr:sp macro="" textlink="">
      <xdr:nvSpPr>
        <xdr:cNvPr id="64" name="CustomShape 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501840" y="2823120"/>
          <a:ext cx="11160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472680</xdr:colOff>
      <xdr:row>33</xdr:row>
      <xdr:rowOff>165600</xdr:rowOff>
    </xdr:from>
    <xdr:to>
      <xdr:col>1</xdr:col>
      <xdr:colOff>2925</xdr:colOff>
      <xdr:row>40</xdr:row>
      <xdr:rowOff>29520</xdr:rowOff>
    </xdr:to>
    <xdr:sp macro="" textlink="">
      <xdr:nvSpPr>
        <xdr:cNvPr id="65" name="CustomShape 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472680" y="6775920"/>
          <a:ext cx="130320" cy="12355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11266" name="shapetype_202" hidden="1">
          <a:extLst>
            <a:ext uri="{FF2B5EF4-FFF2-40B4-BE49-F238E27FC236}">
              <a16:creationId xmlns:a16="http://schemas.microsoft.com/office/drawing/2014/main" id="{00000000-0008-0000-0900-000002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798000</xdr:colOff>
      <xdr:row>6</xdr:row>
      <xdr:rowOff>33330</xdr:rowOff>
    </xdr:from>
    <xdr:to>
      <xdr:col>0</xdr:col>
      <xdr:colOff>799980</xdr:colOff>
      <xdr:row>9</xdr:row>
      <xdr:rowOff>181830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798000" y="1500180"/>
          <a:ext cx="1980" cy="72000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10</xdr:row>
      <xdr:rowOff>80520</xdr:rowOff>
    </xdr:from>
    <xdr:to>
      <xdr:col>0</xdr:col>
      <xdr:colOff>800145</xdr:colOff>
      <xdr:row>16</xdr:row>
      <xdr:rowOff>153600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798165" y="2309370"/>
          <a:ext cx="198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17</xdr:row>
      <xdr:rowOff>79800</xdr:rowOff>
    </xdr:from>
    <xdr:to>
      <xdr:col>0</xdr:col>
      <xdr:colOff>800145</xdr:colOff>
      <xdr:row>23</xdr:row>
      <xdr:rowOff>152880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798165" y="3642150"/>
          <a:ext cx="198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798690</xdr:colOff>
      <xdr:row>24</xdr:row>
      <xdr:rowOff>50730</xdr:rowOff>
    </xdr:from>
    <xdr:to>
      <xdr:col>0</xdr:col>
      <xdr:colOff>801030</xdr:colOff>
      <xdr:row>30</xdr:row>
      <xdr:rowOff>123810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798690" y="4946580"/>
          <a:ext cx="234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31</xdr:row>
      <xdr:rowOff>42090</xdr:rowOff>
    </xdr:from>
    <xdr:to>
      <xdr:col>0</xdr:col>
      <xdr:colOff>800145</xdr:colOff>
      <xdr:row>36</xdr:row>
      <xdr:rowOff>121965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798165" y="6271440"/>
          <a:ext cx="1980" cy="108000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43</xdr:row>
      <xdr:rowOff>19050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43</xdr:row>
      <xdr:rowOff>19050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opLeftCell="A25" workbookViewId="0">
      <selection activeCell="B6" sqref="B6"/>
    </sheetView>
  </sheetViews>
  <sheetFormatPr baseColWidth="10" defaultColWidth="11.42578125" defaultRowHeight="15" x14ac:dyDescent="0.25"/>
  <sheetData>
    <row r="1" spans="1:10" ht="26.25" thickTop="1" x14ac:dyDescent="0.25">
      <c r="B1" s="152" t="s">
        <v>0</v>
      </c>
      <c r="C1" s="119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0" ht="15.75" thickBot="1" x14ac:dyDescent="0.3">
      <c r="B2" s="41" t="s">
        <v>8</v>
      </c>
      <c r="C2" s="120"/>
      <c r="D2" s="42"/>
      <c r="E2" s="42" t="s">
        <v>10</v>
      </c>
      <c r="F2" s="43">
        <v>400</v>
      </c>
      <c r="G2" s="44" t="s">
        <v>11</v>
      </c>
      <c r="H2" s="44" t="s">
        <v>12</v>
      </c>
      <c r="I2" s="262" t="s">
        <v>24</v>
      </c>
      <c r="J2" s="262"/>
    </row>
    <row r="3" spans="1:10" ht="15.75" thickTop="1" x14ac:dyDescent="0.25">
      <c r="C3" s="121"/>
      <c r="D3" s="46"/>
      <c r="E3" s="47"/>
      <c r="F3" s="48"/>
      <c r="G3" s="49"/>
      <c r="H3" s="50"/>
      <c r="I3" s="50"/>
    </row>
    <row r="4" spans="1:10" x14ac:dyDescent="0.25">
      <c r="C4" s="122"/>
      <c r="D4" s="52"/>
      <c r="E4" s="53"/>
      <c r="F4" s="54"/>
      <c r="G4" s="53"/>
      <c r="H4" s="50"/>
      <c r="I4" s="50"/>
    </row>
    <row r="5" spans="1:10" x14ac:dyDescent="0.25">
      <c r="B5" s="82" t="s">
        <v>13</v>
      </c>
      <c r="C5" s="123" t="s">
        <v>14</v>
      </c>
      <c r="D5" s="83" t="s">
        <v>15</v>
      </c>
      <c r="E5" s="83" t="s">
        <v>16</v>
      </c>
      <c r="F5" s="83" t="s">
        <v>17</v>
      </c>
      <c r="G5" s="84">
        <v>0.25</v>
      </c>
      <c r="H5" s="84">
        <v>0.5</v>
      </c>
      <c r="I5" s="84">
        <v>1</v>
      </c>
    </row>
    <row r="6" spans="1:10" x14ac:dyDescent="0.25">
      <c r="A6" s="263"/>
      <c r="B6" s="93" t="s">
        <v>21</v>
      </c>
      <c r="C6" s="124">
        <v>43570</v>
      </c>
      <c r="D6" s="94">
        <v>0</v>
      </c>
      <c r="E6" s="94">
        <v>0</v>
      </c>
      <c r="F6" s="94">
        <f>SUM(E6-D6)</f>
        <v>0</v>
      </c>
      <c r="G6" s="95"/>
      <c r="H6" s="95"/>
      <c r="I6" s="95"/>
    </row>
    <row r="7" spans="1:10" x14ac:dyDescent="0.25">
      <c r="A7" s="264"/>
      <c r="B7" s="128" t="s">
        <v>22</v>
      </c>
      <c r="C7" s="129">
        <v>43571</v>
      </c>
      <c r="D7" s="96">
        <v>0</v>
      </c>
      <c r="E7" s="96">
        <v>0</v>
      </c>
      <c r="F7" s="96">
        <f t="shared" ref="F7:F35" si="0">SUM(E7-D7)</f>
        <v>0</v>
      </c>
      <c r="G7" s="97"/>
      <c r="H7" s="97"/>
      <c r="I7" s="97"/>
    </row>
    <row r="8" spans="1:10" x14ac:dyDescent="0.25">
      <c r="A8" s="264"/>
      <c r="B8" s="130" t="s">
        <v>25</v>
      </c>
      <c r="C8" s="131">
        <v>43572</v>
      </c>
      <c r="D8" s="101">
        <v>0</v>
      </c>
      <c r="E8" s="101">
        <v>0</v>
      </c>
      <c r="F8" s="101">
        <f t="shared" si="0"/>
        <v>0</v>
      </c>
      <c r="G8" s="102"/>
      <c r="H8" s="103"/>
      <c r="I8" s="103"/>
    </row>
    <row r="9" spans="1:10" x14ac:dyDescent="0.25">
      <c r="A9" s="264"/>
      <c r="B9" s="128" t="s">
        <v>26</v>
      </c>
      <c r="C9" s="129">
        <v>43573</v>
      </c>
      <c r="D9" s="96">
        <v>0</v>
      </c>
      <c r="E9" s="96">
        <v>0</v>
      </c>
      <c r="F9" s="96">
        <f t="shared" si="0"/>
        <v>0</v>
      </c>
      <c r="G9" s="97"/>
      <c r="H9" s="98"/>
      <c r="I9" s="98"/>
    </row>
    <row r="10" spans="1:10" x14ac:dyDescent="0.25">
      <c r="A10" s="264"/>
      <c r="B10" s="128" t="s">
        <v>18</v>
      </c>
      <c r="C10" s="129">
        <v>43574</v>
      </c>
      <c r="D10" s="96">
        <v>0</v>
      </c>
      <c r="E10" s="96">
        <v>0</v>
      </c>
      <c r="F10" s="96">
        <f t="shared" si="0"/>
        <v>0</v>
      </c>
      <c r="G10" s="97"/>
      <c r="H10" s="99"/>
      <c r="I10" s="100"/>
    </row>
    <row r="11" spans="1:10" x14ac:dyDescent="0.25">
      <c r="A11" s="264"/>
      <c r="B11" s="128" t="s">
        <v>27</v>
      </c>
      <c r="C11" s="129">
        <v>43575</v>
      </c>
      <c r="D11" s="96">
        <v>0</v>
      </c>
      <c r="E11" s="96">
        <v>0</v>
      </c>
      <c r="F11" s="96">
        <f t="shared" si="0"/>
        <v>0</v>
      </c>
      <c r="G11" s="97"/>
      <c r="H11" s="98"/>
      <c r="I11" s="98"/>
    </row>
    <row r="12" spans="1:10" ht="15.75" thickBot="1" x14ac:dyDescent="0.3">
      <c r="A12" s="265"/>
      <c r="B12" s="132" t="s">
        <v>28</v>
      </c>
      <c r="C12" s="133">
        <v>43576</v>
      </c>
      <c r="D12" s="134">
        <v>0</v>
      </c>
      <c r="E12" s="134">
        <v>0</v>
      </c>
      <c r="F12" s="134">
        <f t="shared" si="0"/>
        <v>0</v>
      </c>
      <c r="G12" s="135"/>
      <c r="H12" s="136"/>
      <c r="I12" s="136"/>
    </row>
    <row r="13" spans="1:10" ht="15.75" thickTop="1" x14ac:dyDescent="0.25">
      <c r="A13" s="266"/>
      <c r="B13" s="137" t="s">
        <v>21</v>
      </c>
      <c r="C13" s="138">
        <v>43577</v>
      </c>
      <c r="D13" s="139">
        <v>0</v>
      </c>
      <c r="E13" s="139">
        <v>0</v>
      </c>
      <c r="F13" s="139">
        <f t="shared" si="0"/>
        <v>0</v>
      </c>
      <c r="G13" s="140"/>
      <c r="H13" s="141"/>
      <c r="I13" s="142"/>
    </row>
    <row r="14" spans="1:10" x14ac:dyDescent="0.25">
      <c r="A14" s="264"/>
      <c r="B14" s="128" t="s">
        <v>22</v>
      </c>
      <c r="C14" s="129">
        <v>43578</v>
      </c>
      <c r="D14" s="96">
        <v>0</v>
      </c>
      <c r="E14" s="96">
        <v>0</v>
      </c>
      <c r="F14" s="96">
        <f t="shared" si="0"/>
        <v>0</v>
      </c>
      <c r="G14" s="97"/>
      <c r="H14" s="99"/>
      <c r="I14" s="100"/>
      <c r="J14" s="68"/>
    </row>
    <row r="15" spans="1:10" x14ac:dyDescent="0.25">
      <c r="A15" s="264"/>
      <c r="B15" s="128" t="s">
        <v>25</v>
      </c>
      <c r="C15" s="129">
        <v>43579</v>
      </c>
      <c r="D15" s="96">
        <v>0</v>
      </c>
      <c r="E15" s="96">
        <v>0</v>
      </c>
      <c r="F15" s="96">
        <f t="shared" si="0"/>
        <v>0</v>
      </c>
      <c r="G15" s="97"/>
      <c r="H15" s="98"/>
      <c r="I15" s="98"/>
      <c r="J15" s="68"/>
    </row>
    <row r="16" spans="1:10" x14ac:dyDescent="0.25">
      <c r="A16" s="264"/>
      <c r="B16" s="128" t="s">
        <v>26</v>
      </c>
      <c r="C16" s="129">
        <v>43580</v>
      </c>
      <c r="D16" s="96">
        <v>0</v>
      </c>
      <c r="E16" s="96">
        <v>0</v>
      </c>
      <c r="F16" s="96">
        <f t="shared" si="0"/>
        <v>0</v>
      </c>
      <c r="G16" s="97"/>
      <c r="H16" s="98"/>
      <c r="I16" s="98"/>
      <c r="J16" s="68"/>
    </row>
    <row r="17" spans="1:10" x14ac:dyDescent="0.25">
      <c r="A17" s="264"/>
      <c r="B17" s="128" t="s">
        <v>18</v>
      </c>
      <c r="C17" s="129">
        <v>43581</v>
      </c>
      <c r="D17" s="96">
        <v>0</v>
      </c>
      <c r="E17" s="96">
        <v>0</v>
      </c>
      <c r="F17" s="96">
        <f t="shared" si="0"/>
        <v>0</v>
      </c>
      <c r="G17" s="97"/>
      <c r="H17" s="99"/>
      <c r="I17" s="100"/>
      <c r="J17" s="68"/>
    </row>
    <row r="18" spans="1:10" x14ac:dyDescent="0.25">
      <c r="A18" s="264"/>
      <c r="B18" s="130" t="s">
        <v>27</v>
      </c>
      <c r="C18" s="131">
        <v>43582</v>
      </c>
      <c r="D18" s="101">
        <v>0</v>
      </c>
      <c r="E18" s="101">
        <v>0</v>
      </c>
      <c r="F18" s="101">
        <f t="shared" si="0"/>
        <v>0</v>
      </c>
      <c r="G18" s="102"/>
      <c r="H18" s="103"/>
      <c r="I18" s="103"/>
      <c r="J18" s="68"/>
    </row>
    <row r="19" spans="1:10" ht="15.75" thickBot="1" x14ac:dyDescent="0.3">
      <c r="A19" s="265"/>
      <c r="B19" s="132" t="s">
        <v>28</v>
      </c>
      <c r="C19" s="133">
        <v>43583</v>
      </c>
      <c r="D19" s="134">
        <v>0</v>
      </c>
      <c r="E19" s="134">
        <v>0</v>
      </c>
      <c r="F19" s="134">
        <f t="shared" si="0"/>
        <v>0</v>
      </c>
      <c r="G19" s="135"/>
      <c r="H19" s="136"/>
      <c r="I19" s="136"/>
    </row>
    <row r="20" spans="1:10" ht="15.75" thickTop="1" x14ac:dyDescent="0.25">
      <c r="A20" s="266"/>
      <c r="B20" s="137" t="s">
        <v>21</v>
      </c>
      <c r="C20" s="138">
        <v>43584</v>
      </c>
      <c r="D20" s="139">
        <v>0</v>
      </c>
      <c r="E20" s="139">
        <v>0</v>
      </c>
      <c r="F20" s="139">
        <f t="shared" si="0"/>
        <v>0</v>
      </c>
      <c r="G20" s="140"/>
      <c r="H20" s="141"/>
      <c r="I20" s="142"/>
    </row>
    <row r="21" spans="1:10" x14ac:dyDescent="0.25">
      <c r="A21" s="264"/>
      <c r="B21" s="128" t="s">
        <v>22</v>
      </c>
      <c r="C21" s="129">
        <v>43585</v>
      </c>
      <c r="D21" s="96">
        <v>0</v>
      </c>
      <c r="E21" s="96">
        <v>0</v>
      </c>
      <c r="F21" s="96">
        <f t="shared" si="0"/>
        <v>0</v>
      </c>
      <c r="G21" s="97"/>
      <c r="H21" s="99"/>
      <c r="I21" s="100"/>
    </row>
    <row r="22" spans="1:10" x14ac:dyDescent="0.25">
      <c r="A22" s="264"/>
      <c r="B22" s="128" t="s">
        <v>25</v>
      </c>
      <c r="C22" s="129">
        <v>43586</v>
      </c>
      <c r="D22" s="96">
        <v>14</v>
      </c>
      <c r="E22" s="96">
        <v>20</v>
      </c>
      <c r="F22" s="96">
        <f t="shared" si="0"/>
        <v>6</v>
      </c>
      <c r="G22" s="97"/>
      <c r="H22" s="98"/>
      <c r="I22" s="98"/>
    </row>
    <row r="23" spans="1:10" x14ac:dyDescent="0.25">
      <c r="A23" s="264"/>
      <c r="B23" s="128" t="s">
        <v>26</v>
      </c>
      <c r="C23" s="129">
        <v>43587</v>
      </c>
      <c r="D23" s="96">
        <v>14</v>
      </c>
      <c r="E23" s="96">
        <v>20</v>
      </c>
      <c r="F23" s="96">
        <f t="shared" si="0"/>
        <v>6</v>
      </c>
      <c r="G23" s="97"/>
      <c r="H23" s="98"/>
      <c r="I23" s="98"/>
    </row>
    <row r="24" spans="1:10" x14ac:dyDescent="0.25">
      <c r="A24" s="264"/>
      <c r="B24" s="128" t="s">
        <v>18</v>
      </c>
      <c r="C24" s="129">
        <v>43588</v>
      </c>
      <c r="D24" s="96">
        <v>25.3</v>
      </c>
      <c r="E24" s="96">
        <v>26</v>
      </c>
      <c r="F24" s="96">
        <f t="shared" si="0"/>
        <v>0.69999999999999929</v>
      </c>
      <c r="G24" s="97"/>
      <c r="H24" s="98"/>
      <c r="I24" s="98"/>
    </row>
    <row r="25" spans="1:10" x14ac:dyDescent="0.25">
      <c r="A25" s="264"/>
      <c r="B25" s="128" t="s">
        <v>27</v>
      </c>
      <c r="C25" s="129">
        <v>43589</v>
      </c>
      <c r="D25" s="96">
        <v>13</v>
      </c>
      <c r="E25" s="96">
        <v>19.010000000000002</v>
      </c>
      <c r="F25" s="96">
        <f t="shared" si="0"/>
        <v>6.0100000000000016</v>
      </c>
      <c r="G25" s="97"/>
      <c r="H25" s="99"/>
      <c r="I25" s="100"/>
    </row>
    <row r="26" spans="1:10" ht="15.75" thickBot="1" x14ac:dyDescent="0.3">
      <c r="A26" s="265"/>
      <c r="B26" s="143" t="s">
        <v>28</v>
      </c>
      <c r="C26" s="144">
        <v>43590</v>
      </c>
      <c r="D26" s="145">
        <v>20.04</v>
      </c>
      <c r="E26" s="145">
        <v>24.19</v>
      </c>
      <c r="F26" s="145">
        <f t="shared" si="0"/>
        <v>4.1500000000000021</v>
      </c>
      <c r="G26" s="146"/>
      <c r="H26" s="147"/>
      <c r="I26" s="148"/>
    </row>
    <row r="27" spans="1:10" ht="15.75" thickTop="1" x14ac:dyDescent="0.25">
      <c r="A27" s="266"/>
      <c r="B27" s="137" t="s">
        <v>21</v>
      </c>
      <c r="C27" s="138">
        <v>43591</v>
      </c>
      <c r="D27" s="139">
        <v>24.21</v>
      </c>
      <c r="E27" s="139">
        <v>26</v>
      </c>
      <c r="F27" s="139">
        <f t="shared" si="0"/>
        <v>1.7899999999999991</v>
      </c>
      <c r="G27" s="140"/>
      <c r="H27" s="149"/>
      <c r="I27" s="149"/>
    </row>
    <row r="28" spans="1:10" x14ac:dyDescent="0.25">
      <c r="A28" s="264"/>
      <c r="B28" s="128" t="s">
        <v>22</v>
      </c>
      <c r="C28" s="129">
        <v>43592</v>
      </c>
      <c r="D28" s="96">
        <v>14.03</v>
      </c>
      <c r="E28" s="96">
        <v>20</v>
      </c>
      <c r="F28" s="96">
        <f t="shared" si="0"/>
        <v>5.9700000000000006</v>
      </c>
      <c r="G28" s="97"/>
      <c r="H28" s="98"/>
      <c r="I28" s="98"/>
    </row>
    <row r="29" spans="1:10" x14ac:dyDescent="0.25">
      <c r="A29" s="264"/>
      <c r="B29" s="128" t="s">
        <v>25</v>
      </c>
      <c r="C29" s="129">
        <v>43593</v>
      </c>
      <c r="D29" s="96">
        <v>8.59</v>
      </c>
      <c r="E29" s="96">
        <v>14.57</v>
      </c>
      <c r="F29" s="96">
        <f t="shared" si="0"/>
        <v>5.98</v>
      </c>
      <c r="G29" s="97"/>
      <c r="H29" s="99"/>
      <c r="I29" s="100"/>
    </row>
    <row r="30" spans="1:10" x14ac:dyDescent="0.25">
      <c r="A30" s="264"/>
      <c r="B30" s="128" t="s">
        <v>26</v>
      </c>
      <c r="C30" s="129">
        <v>43594</v>
      </c>
      <c r="D30" s="96">
        <v>20.010000000000002</v>
      </c>
      <c r="E30" s="96">
        <v>24.03</v>
      </c>
      <c r="F30" s="96">
        <f t="shared" si="0"/>
        <v>4.0199999999999996</v>
      </c>
      <c r="G30" s="97"/>
      <c r="H30" s="98"/>
      <c r="I30" s="98"/>
    </row>
    <row r="31" spans="1:10" x14ac:dyDescent="0.25">
      <c r="A31" s="264"/>
      <c r="B31" s="130" t="s">
        <v>18</v>
      </c>
      <c r="C31" s="131">
        <v>43595</v>
      </c>
      <c r="D31" s="101">
        <v>24.04</v>
      </c>
      <c r="E31" s="101">
        <v>18.36</v>
      </c>
      <c r="F31" s="101">
        <f t="shared" si="0"/>
        <v>-5.68</v>
      </c>
      <c r="G31" s="102"/>
      <c r="H31" s="103"/>
      <c r="I31" s="103"/>
    </row>
    <row r="32" spans="1:10" x14ac:dyDescent="0.25">
      <c r="A32" s="264"/>
      <c r="B32" s="128" t="s">
        <v>27</v>
      </c>
      <c r="C32" s="129">
        <v>43596</v>
      </c>
      <c r="D32" s="96">
        <v>6.57</v>
      </c>
      <c r="E32" s="96">
        <v>13.48</v>
      </c>
      <c r="F32" s="96">
        <f t="shared" si="0"/>
        <v>6.91</v>
      </c>
      <c r="G32" s="97"/>
      <c r="H32" s="99"/>
      <c r="I32" s="100"/>
    </row>
    <row r="33" spans="1:9" ht="15.75" thickBot="1" x14ac:dyDescent="0.3">
      <c r="A33" s="265"/>
      <c r="B33" s="132" t="s">
        <v>28</v>
      </c>
      <c r="C33" s="133">
        <v>43597</v>
      </c>
      <c r="D33" s="134">
        <v>0</v>
      </c>
      <c r="E33" s="134">
        <v>0</v>
      </c>
      <c r="F33" s="134">
        <f t="shared" si="0"/>
        <v>0</v>
      </c>
      <c r="G33" s="135"/>
      <c r="H33" s="150"/>
      <c r="I33" s="151"/>
    </row>
    <row r="34" spans="1:9" ht="15.75" thickTop="1" x14ac:dyDescent="0.25">
      <c r="A34" s="259"/>
      <c r="B34" s="126" t="s">
        <v>21</v>
      </c>
      <c r="C34" s="127">
        <v>43598</v>
      </c>
      <c r="D34" s="108">
        <v>20.010000000000002</v>
      </c>
      <c r="E34" s="108">
        <v>25.55</v>
      </c>
      <c r="F34" s="108">
        <f t="shared" si="0"/>
        <v>5.5399999999999991</v>
      </c>
      <c r="G34" s="109"/>
      <c r="H34" s="118"/>
      <c r="I34" s="118"/>
    </row>
    <row r="35" spans="1:9" x14ac:dyDescent="0.25">
      <c r="A35" s="259"/>
      <c r="B35" s="93" t="s">
        <v>22</v>
      </c>
      <c r="C35" s="124">
        <v>43599</v>
      </c>
      <c r="D35" s="94">
        <v>25.55</v>
      </c>
      <c r="E35" s="94">
        <v>18.579999999999998</v>
      </c>
      <c r="F35" s="96">
        <f t="shared" si="0"/>
        <v>-6.9700000000000024</v>
      </c>
      <c r="G35" s="97"/>
      <c r="H35" s="99"/>
      <c r="I35" s="100"/>
    </row>
    <row r="36" spans="1:9" x14ac:dyDescent="0.25">
      <c r="B36" s="85"/>
      <c r="C36" s="125"/>
      <c r="D36" s="64"/>
      <c r="E36" s="64"/>
      <c r="F36" s="64"/>
      <c r="G36" s="65"/>
      <c r="H36" s="50"/>
      <c r="I36" s="50"/>
    </row>
    <row r="37" spans="1:9" x14ac:dyDescent="0.25">
      <c r="B37" s="80"/>
      <c r="C37" s="260" t="s">
        <v>29</v>
      </c>
      <c r="D37" s="260"/>
      <c r="E37" s="260"/>
      <c r="F37" s="66">
        <f>SUM(F6:F35)</f>
        <v>40.42</v>
      </c>
      <c r="G37" s="67">
        <f>SUM(G6:G35)</f>
        <v>0</v>
      </c>
      <c r="H37" s="67">
        <f>SUM(H6:H33)</f>
        <v>0</v>
      </c>
      <c r="I37" s="67">
        <f>SUM(I6:I33)</f>
        <v>0</v>
      </c>
    </row>
  </sheetData>
  <mergeCells count="8">
    <mergeCell ref="A34:A35"/>
    <mergeCell ref="C37:E37"/>
    <mergeCell ref="I1:J1"/>
    <mergeCell ref="I2:J2"/>
    <mergeCell ref="A6:A12"/>
    <mergeCell ref="A13:A19"/>
    <mergeCell ref="A20:A26"/>
    <mergeCell ref="A27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J40"/>
  <sheetViews>
    <sheetView showGridLines="0" zoomScaleNormal="100" workbookViewId="0">
      <selection activeCell="B37" sqref="B37"/>
    </sheetView>
  </sheetViews>
  <sheetFormatPr baseColWidth="10" defaultColWidth="9.140625" defaultRowHeight="15" x14ac:dyDescent="0.25"/>
  <cols>
    <col min="1" max="6" width="12.7109375" customWidth="1"/>
    <col min="7" max="7" width="24" bestFit="1" customWidth="1"/>
    <col min="8" max="1025" width="10.7109375"/>
  </cols>
  <sheetData>
    <row r="1" spans="1:10" ht="38.25" customHeight="1" x14ac:dyDescent="0.25">
      <c r="B1" s="152" t="s">
        <v>0</v>
      </c>
      <c r="C1" s="152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7" t="s">
        <v>7</v>
      </c>
      <c r="J1" s="267"/>
    </row>
    <row r="2" spans="1:10" ht="15.75" customHeight="1" x14ac:dyDescent="0.25">
      <c r="B2" s="41" t="s">
        <v>8</v>
      </c>
      <c r="C2" s="69">
        <v>502725393</v>
      </c>
      <c r="D2" s="42" t="s">
        <v>9</v>
      </c>
      <c r="E2" s="42" t="s">
        <v>10</v>
      </c>
      <c r="F2" s="43">
        <v>400</v>
      </c>
      <c r="G2" s="44" t="s">
        <v>11</v>
      </c>
      <c r="H2" s="44" t="s">
        <v>12</v>
      </c>
      <c r="I2" s="268" t="s">
        <v>30</v>
      </c>
      <c r="J2" s="268"/>
    </row>
    <row r="3" spans="1:10" ht="15" customHeight="1" x14ac:dyDescent="0.25">
      <c r="C3" s="45"/>
      <c r="D3" s="46"/>
      <c r="E3" s="47"/>
      <c r="F3" s="48"/>
      <c r="G3" s="49"/>
      <c r="H3" s="50"/>
      <c r="I3" s="50"/>
    </row>
    <row r="4" spans="1:10" ht="15" customHeight="1" x14ac:dyDescent="0.25">
      <c r="C4" s="51"/>
      <c r="D4" s="52"/>
      <c r="E4" s="53"/>
      <c r="F4" s="54"/>
      <c r="G4" s="54"/>
    </row>
    <row r="5" spans="1:10" ht="15.75" customHeight="1" thickBot="1" x14ac:dyDescent="0.3">
      <c r="C5" s="51"/>
      <c r="D5" s="52"/>
      <c r="E5" s="53"/>
      <c r="F5" s="54"/>
      <c r="G5" s="54"/>
    </row>
    <row r="6" spans="1:10" ht="15.75" customHeight="1" thickTop="1" x14ac:dyDescent="0.25">
      <c r="B6" s="86" t="s">
        <v>13</v>
      </c>
      <c r="C6" s="87" t="s">
        <v>14</v>
      </c>
      <c r="D6" s="88" t="s">
        <v>15</v>
      </c>
      <c r="E6" s="88" t="s">
        <v>16</v>
      </c>
      <c r="F6" s="88" t="s">
        <v>17</v>
      </c>
      <c r="G6" s="88">
        <v>0.25</v>
      </c>
      <c r="H6" s="88">
        <v>0.5</v>
      </c>
      <c r="I6" s="88">
        <v>1</v>
      </c>
    </row>
    <row r="7" spans="1:10" ht="15" customHeight="1" x14ac:dyDescent="0.25">
      <c r="A7" s="269"/>
      <c r="B7" s="114" t="e">
        <f>#REF!</f>
        <v>#REF!</v>
      </c>
      <c r="C7" s="115" t="e">
        <f>#REF!</f>
        <v>#REF!</v>
      </c>
      <c r="D7" s="116">
        <v>0</v>
      </c>
      <c r="E7" s="116">
        <v>0</v>
      </c>
      <c r="F7" s="116">
        <f>SUM(E7-D7)</f>
        <v>0</v>
      </c>
      <c r="G7" s="117"/>
      <c r="H7" s="117"/>
      <c r="I7" s="117"/>
    </row>
    <row r="8" spans="1:10" ht="15" customHeight="1" x14ac:dyDescent="0.25">
      <c r="A8" s="270"/>
      <c r="B8" s="104" t="e">
        <f>#REF!</f>
        <v>#REF!</v>
      </c>
      <c r="C8" s="105" t="e">
        <f>#REF!</f>
        <v>#REF!</v>
      </c>
      <c r="D8" s="96">
        <v>0</v>
      </c>
      <c r="E8" s="96">
        <v>0</v>
      </c>
      <c r="F8" s="96">
        <f t="shared" ref="F8:F37" si="0">SUM(E8-D8)</f>
        <v>0</v>
      </c>
      <c r="G8" s="97"/>
      <c r="H8" s="97"/>
      <c r="I8" s="97"/>
    </row>
    <row r="9" spans="1:10" ht="15" customHeight="1" x14ac:dyDescent="0.25">
      <c r="A9" s="271"/>
      <c r="B9" s="104" t="e">
        <f>#REF!</f>
        <v>#REF!</v>
      </c>
      <c r="C9" s="105" t="e">
        <f>#REF!</f>
        <v>#REF!</v>
      </c>
      <c r="D9" s="96">
        <v>0</v>
      </c>
      <c r="E9" s="96">
        <v>0</v>
      </c>
      <c r="F9" s="96">
        <f t="shared" si="0"/>
        <v>0</v>
      </c>
      <c r="G9" s="97"/>
      <c r="H9" s="97"/>
      <c r="I9" s="97"/>
    </row>
    <row r="10" spans="1:10" ht="15" customHeight="1" x14ac:dyDescent="0.25">
      <c r="A10" s="269"/>
      <c r="B10" s="104" t="e">
        <f>#REF!</f>
        <v>#REF!</v>
      </c>
      <c r="C10" s="105" t="e">
        <f>#REF!</f>
        <v>#REF!</v>
      </c>
      <c r="D10" s="96">
        <v>9.31</v>
      </c>
      <c r="E10" s="96">
        <v>11.16</v>
      </c>
      <c r="F10" s="96">
        <f t="shared" si="0"/>
        <v>1.8499999999999996</v>
      </c>
      <c r="G10" s="97"/>
      <c r="H10" s="97"/>
      <c r="I10" s="97"/>
    </row>
    <row r="11" spans="1:10" ht="15" customHeight="1" x14ac:dyDescent="0.25">
      <c r="A11" s="270"/>
      <c r="B11" s="104" t="e">
        <f>#REF!</f>
        <v>#REF!</v>
      </c>
      <c r="C11" s="105" t="e">
        <f>#REF!</f>
        <v>#REF!</v>
      </c>
      <c r="D11" s="96">
        <v>0</v>
      </c>
      <c r="E11" s="96">
        <v>0</v>
      </c>
      <c r="F11" s="96">
        <f t="shared" si="0"/>
        <v>0</v>
      </c>
      <c r="G11" s="97"/>
      <c r="H11" s="97"/>
      <c r="I11" s="97"/>
    </row>
    <row r="12" spans="1:10" ht="15" customHeight="1" x14ac:dyDescent="0.25">
      <c r="A12" s="270"/>
      <c r="B12" s="104" t="e">
        <f>#REF!</f>
        <v>#REF!</v>
      </c>
      <c r="C12" s="105" t="e">
        <f>#REF!</f>
        <v>#REF!</v>
      </c>
      <c r="D12" s="96">
        <v>0</v>
      </c>
      <c r="E12" s="96">
        <v>0</v>
      </c>
      <c r="F12" s="96">
        <f t="shared" si="0"/>
        <v>0</v>
      </c>
      <c r="G12" s="97"/>
      <c r="H12" s="97"/>
      <c r="I12" s="97"/>
    </row>
    <row r="13" spans="1:10" ht="15" customHeight="1" x14ac:dyDescent="0.25">
      <c r="A13" s="270"/>
      <c r="B13" s="104" t="e">
        <f>#REF!</f>
        <v>#REF!</v>
      </c>
      <c r="C13" s="105" t="e">
        <f>#REF!</f>
        <v>#REF!</v>
      </c>
      <c r="D13" s="96">
        <v>0</v>
      </c>
      <c r="E13" s="96">
        <v>0</v>
      </c>
      <c r="F13" s="96">
        <f t="shared" si="0"/>
        <v>0</v>
      </c>
      <c r="G13" s="97"/>
      <c r="H13" s="97"/>
      <c r="I13" s="97"/>
    </row>
    <row r="14" spans="1:10" ht="15" customHeight="1" x14ac:dyDescent="0.25">
      <c r="A14" s="270"/>
      <c r="B14" s="104" t="e">
        <f>#REF!</f>
        <v>#REF!</v>
      </c>
      <c r="C14" s="105" t="e">
        <f>#REF!</f>
        <v>#REF!</v>
      </c>
      <c r="D14" s="96">
        <v>0</v>
      </c>
      <c r="E14" s="96">
        <v>0</v>
      </c>
      <c r="F14" s="96">
        <f t="shared" si="0"/>
        <v>0</v>
      </c>
      <c r="G14" s="97"/>
      <c r="H14" s="97"/>
      <c r="I14" s="97"/>
    </row>
    <row r="15" spans="1:10" ht="15" customHeight="1" x14ac:dyDescent="0.25">
      <c r="A15" s="270"/>
      <c r="B15" s="106" t="e">
        <f>#REF!</f>
        <v>#REF!</v>
      </c>
      <c r="C15" s="107" t="e">
        <f>#REF!</f>
        <v>#REF!</v>
      </c>
      <c r="D15" s="101">
        <v>0</v>
      </c>
      <c r="E15" s="101">
        <v>0</v>
      </c>
      <c r="F15" s="101">
        <f t="shared" si="0"/>
        <v>0</v>
      </c>
      <c r="G15" s="102"/>
      <c r="H15" s="102"/>
      <c r="I15" s="102"/>
    </row>
    <row r="16" spans="1:10" ht="15" customHeight="1" x14ac:dyDescent="0.25">
      <c r="A16" s="271"/>
      <c r="B16" s="106" t="e">
        <f>#REF!</f>
        <v>#REF!</v>
      </c>
      <c r="C16" s="107" t="e">
        <f>#REF!</f>
        <v>#REF!</v>
      </c>
      <c r="D16" s="101">
        <v>0</v>
      </c>
      <c r="E16" s="101">
        <v>0</v>
      </c>
      <c r="F16" s="101">
        <f t="shared" si="0"/>
        <v>0</v>
      </c>
      <c r="G16" s="102"/>
      <c r="H16" s="102"/>
      <c r="I16" s="102"/>
    </row>
    <row r="17" spans="1:9" ht="15" customHeight="1" x14ac:dyDescent="0.25">
      <c r="A17" s="269"/>
      <c r="B17" s="104" t="e">
        <f>#REF!</f>
        <v>#REF!</v>
      </c>
      <c r="C17" s="105" t="e">
        <f>#REF!</f>
        <v>#REF!</v>
      </c>
      <c r="D17" s="96">
        <v>0</v>
      </c>
      <c r="E17" s="96">
        <v>0</v>
      </c>
      <c r="F17" s="96">
        <f t="shared" si="0"/>
        <v>0</v>
      </c>
      <c r="G17" s="97"/>
      <c r="H17" s="97"/>
      <c r="I17" s="97"/>
    </row>
    <row r="18" spans="1:9" ht="15" customHeight="1" x14ac:dyDescent="0.25">
      <c r="A18" s="270"/>
      <c r="B18" s="104" t="e">
        <f>#REF!</f>
        <v>#REF!</v>
      </c>
      <c r="C18" s="105" t="e">
        <f>#REF!</f>
        <v>#REF!</v>
      </c>
      <c r="D18" s="96">
        <v>0</v>
      </c>
      <c r="E18" s="96">
        <v>0</v>
      </c>
      <c r="F18" s="96">
        <f t="shared" si="0"/>
        <v>0</v>
      </c>
      <c r="G18" s="97"/>
      <c r="H18" s="97"/>
      <c r="I18" s="97"/>
    </row>
    <row r="19" spans="1:9" ht="15" customHeight="1" x14ac:dyDescent="0.25">
      <c r="A19" s="270"/>
      <c r="B19" s="104" t="e">
        <f>#REF!</f>
        <v>#REF!</v>
      </c>
      <c r="C19" s="105" t="e">
        <f>#REF!</f>
        <v>#REF!</v>
      </c>
      <c r="D19" s="96">
        <v>0</v>
      </c>
      <c r="E19" s="96">
        <v>0</v>
      </c>
      <c r="F19" s="96">
        <f t="shared" si="0"/>
        <v>0</v>
      </c>
      <c r="G19" s="97"/>
      <c r="H19" s="97"/>
      <c r="I19" s="97"/>
    </row>
    <row r="20" spans="1:9" ht="15" customHeight="1" x14ac:dyDescent="0.25">
      <c r="A20" s="270"/>
      <c r="B20" s="104" t="e">
        <f>#REF!</f>
        <v>#REF!</v>
      </c>
      <c r="C20" s="105" t="e">
        <f>#REF!</f>
        <v>#REF!</v>
      </c>
      <c r="D20" s="96">
        <v>0</v>
      </c>
      <c r="E20" s="96">
        <v>0</v>
      </c>
      <c r="F20" s="96">
        <f t="shared" si="0"/>
        <v>0</v>
      </c>
      <c r="G20" s="97"/>
      <c r="H20" s="97"/>
      <c r="I20" s="97"/>
    </row>
    <row r="21" spans="1:9" ht="15" customHeight="1" x14ac:dyDescent="0.25">
      <c r="A21" s="270"/>
      <c r="B21" s="104" t="e">
        <f>#REF!</f>
        <v>#REF!</v>
      </c>
      <c r="C21" s="105" t="e">
        <f>#REF!</f>
        <v>#REF!</v>
      </c>
      <c r="D21" s="96">
        <v>0</v>
      </c>
      <c r="E21" s="96">
        <v>0</v>
      </c>
      <c r="F21" s="96">
        <f t="shared" si="0"/>
        <v>0</v>
      </c>
      <c r="G21" s="97"/>
      <c r="H21" s="97"/>
      <c r="I21" s="97"/>
    </row>
    <row r="22" spans="1:9" ht="15" customHeight="1" x14ac:dyDescent="0.25">
      <c r="A22" s="270"/>
      <c r="B22" s="106" t="e">
        <f>#REF!</f>
        <v>#REF!</v>
      </c>
      <c r="C22" s="107" t="e">
        <f>#REF!</f>
        <v>#REF!</v>
      </c>
      <c r="D22" s="101">
        <v>0</v>
      </c>
      <c r="E22" s="101">
        <v>0</v>
      </c>
      <c r="F22" s="101">
        <f t="shared" si="0"/>
        <v>0</v>
      </c>
      <c r="G22" s="102" t="e">
        <f>#REF!</f>
        <v>#REF!</v>
      </c>
      <c r="H22" s="102"/>
      <c r="I22" s="102"/>
    </row>
    <row r="23" spans="1:9" ht="15" customHeight="1" x14ac:dyDescent="0.25">
      <c r="A23" s="271"/>
      <c r="B23" s="106" t="e">
        <f>#REF!</f>
        <v>#REF!</v>
      </c>
      <c r="C23" s="107" t="e">
        <f>#REF!</f>
        <v>#REF!</v>
      </c>
      <c r="D23" s="101">
        <v>0</v>
      </c>
      <c r="E23" s="101">
        <v>0</v>
      </c>
      <c r="F23" s="101">
        <f t="shared" si="0"/>
        <v>0</v>
      </c>
      <c r="G23" s="102" t="e">
        <f>#REF!</f>
        <v>#REF!</v>
      </c>
      <c r="H23" s="102"/>
      <c r="I23" s="102"/>
    </row>
    <row r="24" spans="1:9" ht="15" customHeight="1" x14ac:dyDescent="0.25">
      <c r="A24" s="269"/>
      <c r="B24" s="104" t="e">
        <f>#REF!</f>
        <v>#REF!</v>
      </c>
      <c r="C24" s="105" t="e">
        <f>#REF!</f>
        <v>#REF!</v>
      </c>
      <c r="D24" s="96">
        <v>0</v>
      </c>
      <c r="E24" s="96">
        <v>0</v>
      </c>
      <c r="F24" s="96">
        <f t="shared" si="0"/>
        <v>0</v>
      </c>
      <c r="G24" s="97" t="e">
        <f>#REF!</f>
        <v>#REF!</v>
      </c>
      <c r="H24" s="97"/>
      <c r="I24" s="97"/>
    </row>
    <row r="25" spans="1:9" ht="15" customHeight="1" x14ac:dyDescent="0.25">
      <c r="A25" s="270"/>
      <c r="B25" s="104" t="e">
        <f>#REF!</f>
        <v>#REF!</v>
      </c>
      <c r="C25" s="105" t="e">
        <f>#REF!</f>
        <v>#REF!</v>
      </c>
      <c r="D25" s="96">
        <v>0</v>
      </c>
      <c r="E25" s="96">
        <v>0</v>
      </c>
      <c r="F25" s="96">
        <f t="shared" si="0"/>
        <v>0</v>
      </c>
      <c r="G25" s="97" t="e">
        <f>#REF!</f>
        <v>#REF!</v>
      </c>
      <c r="H25" s="97"/>
      <c r="I25" s="97"/>
    </row>
    <row r="26" spans="1:9" ht="15" customHeight="1" x14ac:dyDescent="0.25">
      <c r="A26" s="270"/>
      <c r="B26" s="104" t="e">
        <f>#REF!</f>
        <v>#REF!</v>
      </c>
      <c r="C26" s="105" t="e">
        <f>#REF!</f>
        <v>#REF!</v>
      </c>
      <c r="D26" s="96">
        <v>0</v>
      </c>
      <c r="E26" s="96">
        <v>0</v>
      </c>
      <c r="F26" s="96">
        <f t="shared" si="0"/>
        <v>0</v>
      </c>
      <c r="G26" s="97" t="e">
        <f>#REF!</f>
        <v>#REF!</v>
      </c>
      <c r="H26" s="97"/>
      <c r="I26" s="97"/>
    </row>
    <row r="27" spans="1:9" ht="15" customHeight="1" x14ac:dyDescent="0.25">
      <c r="A27" s="270"/>
      <c r="B27" s="104" t="e">
        <f>#REF!</f>
        <v>#REF!</v>
      </c>
      <c r="C27" s="105" t="e">
        <f>#REF!</f>
        <v>#REF!</v>
      </c>
      <c r="D27" s="96">
        <v>0</v>
      </c>
      <c r="E27" s="96">
        <v>0</v>
      </c>
      <c r="F27" s="96">
        <f t="shared" si="0"/>
        <v>0</v>
      </c>
      <c r="G27" s="97" t="e">
        <f>#REF!</f>
        <v>#REF!</v>
      </c>
      <c r="H27" s="97"/>
      <c r="I27" s="97"/>
    </row>
    <row r="28" spans="1:9" ht="15" customHeight="1" x14ac:dyDescent="0.25">
      <c r="A28" s="270"/>
      <c r="B28" s="104" t="e">
        <f>#REF!</f>
        <v>#REF!</v>
      </c>
      <c r="C28" s="105" t="e">
        <f>#REF!</f>
        <v>#REF!</v>
      </c>
      <c r="D28" s="96">
        <v>0</v>
      </c>
      <c r="E28" s="96">
        <v>0</v>
      </c>
      <c r="F28" s="96">
        <f t="shared" si="0"/>
        <v>0</v>
      </c>
      <c r="G28" s="97" t="e">
        <f>#REF!</f>
        <v>#REF!</v>
      </c>
      <c r="H28" s="97"/>
      <c r="I28" s="97"/>
    </row>
    <row r="29" spans="1:9" ht="15" customHeight="1" x14ac:dyDescent="0.25">
      <c r="A29" s="270"/>
      <c r="B29" s="106" t="e">
        <f>#REF!</f>
        <v>#REF!</v>
      </c>
      <c r="C29" s="107" t="e">
        <f>#REF!</f>
        <v>#REF!</v>
      </c>
      <c r="D29" s="101">
        <v>0</v>
      </c>
      <c r="E29" s="101">
        <v>0</v>
      </c>
      <c r="F29" s="101">
        <f t="shared" si="0"/>
        <v>0</v>
      </c>
      <c r="G29" s="102" t="e">
        <f>#REF!</f>
        <v>#REF!</v>
      </c>
      <c r="H29" s="102"/>
      <c r="I29" s="102"/>
    </row>
    <row r="30" spans="1:9" ht="15" customHeight="1" x14ac:dyDescent="0.25">
      <c r="A30" s="271"/>
      <c r="B30" s="106" t="e">
        <f>#REF!</f>
        <v>#REF!</v>
      </c>
      <c r="C30" s="107" t="e">
        <f>#REF!</f>
        <v>#REF!</v>
      </c>
      <c r="D30" s="101">
        <v>0</v>
      </c>
      <c r="E30" s="101">
        <v>0</v>
      </c>
      <c r="F30" s="101">
        <f t="shared" si="0"/>
        <v>0</v>
      </c>
      <c r="G30" s="102" t="e">
        <f>#REF!</f>
        <v>#REF!</v>
      </c>
      <c r="H30" s="102"/>
      <c r="I30" s="102"/>
    </row>
    <row r="31" spans="1:9" ht="15" customHeight="1" x14ac:dyDescent="0.25">
      <c r="A31" s="272"/>
      <c r="B31" s="104" t="e">
        <f>#REF!</f>
        <v>#REF!</v>
      </c>
      <c r="C31" s="105" t="e">
        <f>#REF!</f>
        <v>#REF!</v>
      </c>
      <c r="D31" s="96">
        <v>0</v>
      </c>
      <c r="E31" s="96">
        <v>0</v>
      </c>
      <c r="F31" s="96">
        <f t="shared" si="0"/>
        <v>0</v>
      </c>
      <c r="G31" s="97" t="e">
        <f>#REF!</f>
        <v>#REF!</v>
      </c>
      <c r="H31" s="97"/>
      <c r="I31" s="97"/>
    </row>
    <row r="32" spans="1:9" ht="15.75" customHeight="1" x14ac:dyDescent="0.25">
      <c r="A32" s="273"/>
      <c r="B32" s="104" t="e">
        <f>#REF!</f>
        <v>#REF!</v>
      </c>
      <c r="C32" s="105" t="e">
        <f>#REF!</f>
        <v>#REF!</v>
      </c>
      <c r="D32" s="96">
        <v>0</v>
      </c>
      <c r="E32" s="96">
        <v>0</v>
      </c>
      <c r="F32" s="96">
        <f t="shared" si="0"/>
        <v>0</v>
      </c>
      <c r="G32" s="97" t="e">
        <f>#REF!</f>
        <v>#REF!</v>
      </c>
      <c r="H32" s="97"/>
      <c r="I32" s="97"/>
    </row>
    <row r="33" spans="1:9" ht="15.75" customHeight="1" x14ac:dyDescent="0.25">
      <c r="A33" s="273"/>
      <c r="B33" s="104" t="e">
        <f>#REF!</f>
        <v>#REF!</v>
      </c>
      <c r="C33" s="105" t="e">
        <f>#REF!</f>
        <v>#REF!</v>
      </c>
      <c r="D33" s="96">
        <v>0</v>
      </c>
      <c r="E33" s="96">
        <v>0</v>
      </c>
      <c r="F33" s="96">
        <f t="shared" si="0"/>
        <v>0</v>
      </c>
      <c r="G33" s="97" t="e">
        <f>#REF!</f>
        <v>#REF!</v>
      </c>
      <c r="H33" s="97"/>
      <c r="I33" s="97"/>
    </row>
    <row r="34" spans="1:9" ht="15.75" customHeight="1" x14ac:dyDescent="0.25">
      <c r="A34" s="273"/>
      <c r="B34" s="104" t="e">
        <f>#REF!</f>
        <v>#REF!</v>
      </c>
      <c r="C34" s="105" t="e">
        <f>#REF!</f>
        <v>#REF!</v>
      </c>
      <c r="D34" s="96">
        <v>0</v>
      </c>
      <c r="E34" s="96">
        <v>0</v>
      </c>
      <c r="F34" s="96">
        <f t="shared" si="0"/>
        <v>0</v>
      </c>
      <c r="G34" s="97" t="e">
        <f>#REF!</f>
        <v>#REF!</v>
      </c>
      <c r="H34" s="97"/>
      <c r="I34" s="97"/>
    </row>
    <row r="35" spans="1:9" ht="15" customHeight="1" x14ac:dyDescent="0.25">
      <c r="A35" s="273"/>
      <c r="B35" s="104" t="e">
        <f>#REF!</f>
        <v>#REF!</v>
      </c>
      <c r="C35" s="105" t="e">
        <f>#REF!</f>
        <v>#REF!</v>
      </c>
      <c r="D35" s="96">
        <v>0</v>
      </c>
      <c r="E35" s="96">
        <v>0</v>
      </c>
      <c r="F35" s="96">
        <f t="shared" si="0"/>
        <v>0</v>
      </c>
      <c r="G35" s="97"/>
      <c r="H35" s="97"/>
      <c r="I35" s="97"/>
    </row>
    <row r="36" spans="1:9" ht="15" customHeight="1" x14ac:dyDescent="0.25">
      <c r="A36" s="273"/>
      <c r="B36" s="106" t="e">
        <f>#REF!</f>
        <v>#REF!</v>
      </c>
      <c r="C36" s="107" t="e">
        <f>#REF!</f>
        <v>#REF!</v>
      </c>
      <c r="D36" s="101">
        <v>0</v>
      </c>
      <c r="E36" s="101">
        <v>0</v>
      </c>
      <c r="F36" s="101">
        <f t="shared" si="0"/>
        <v>0</v>
      </c>
      <c r="G36" s="102"/>
      <c r="H36" s="102"/>
      <c r="I36" s="102"/>
    </row>
    <row r="37" spans="1:9" ht="15" customHeight="1" x14ac:dyDescent="0.25">
      <c r="A37" s="274"/>
      <c r="B37" s="110" t="s">
        <v>23</v>
      </c>
      <c r="C37" s="111">
        <v>43600</v>
      </c>
      <c r="D37" s="112">
        <v>0</v>
      </c>
      <c r="E37" s="112">
        <v>0</v>
      </c>
      <c r="F37" s="112">
        <f t="shared" si="0"/>
        <v>0</v>
      </c>
      <c r="G37" s="113"/>
      <c r="H37" s="113"/>
      <c r="I37" s="113"/>
    </row>
    <row r="38" spans="1:9" ht="15" customHeight="1" x14ac:dyDescent="0.25">
      <c r="B38" s="90"/>
      <c r="C38" s="91"/>
      <c r="D38" s="89"/>
      <c r="E38" s="89"/>
      <c r="F38" s="89"/>
      <c r="G38" s="81"/>
      <c r="H38" s="92"/>
      <c r="I38" s="92"/>
    </row>
    <row r="39" spans="1:9" ht="15" customHeight="1" x14ac:dyDescent="0.25">
      <c r="B39" s="62"/>
      <c r="C39" s="59"/>
      <c r="D39" s="64"/>
      <c r="E39" s="64"/>
      <c r="F39" s="64"/>
      <c r="G39" s="65"/>
      <c r="H39" s="50"/>
      <c r="I39" s="50"/>
    </row>
    <row r="40" spans="1:9" ht="15" customHeight="1" x14ac:dyDescent="0.25">
      <c r="B40" s="62"/>
      <c r="C40" s="260" t="e">
        <f>#REF!</f>
        <v>#REF!</v>
      </c>
      <c r="D40" s="260"/>
      <c r="E40" s="260"/>
      <c r="F40" s="66">
        <f>SUM(F7:F37)</f>
        <v>1.8499999999999996</v>
      </c>
      <c r="G40" s="67" t="e">
        <f>SUM(G7:G39)</f>
        <v>#REF!</v>
      </c>
      <c r="H40" s="67">
        <f>SUM(H7:H33)</f>
        <v>0</v>
      </c>
      <c r="I40" s="67">
        <f>SUM(I7:I35)</f>
        <v>0</v>
      </c>
    </row>
  </sheetData>
  <mergeCells count="8">
    <mergeCell ref="I1:J1"/>
    <mergeCell ref="I2:J2"/>
    <mergeCell ref="C40:E40"/>
    <mergeCell ref="A7:A9"/>
    <mergeCell ref="A10:A16"/>
    <mergeCell ref="A17:A23"/>
    <mergeCell ref="A24:A30"/>
    <mergeCell ref="A31:A37"/>
  </mergeCells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"/>
  <sheetViews>
    <sheetView tabSelected="1" workbookViewId="0">
      <selection activeCell="F38" sqref="F38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style="182" customWidth="1"/>
    <col min="4" max="4" width="14.28515625" style="160" customWidth="1"/>
    <col min="5" max="5" width="19.42578125" style="160" customWidth="1"/>
    <col min="6" max="6" width="12.85546875" customWidth="1"/>
    <col min="7" max="7" width="33.28515625" bestFit="1" customWidth="1"/>
    <col min="8" max="8" width="9.140625" customWidth="1"/>
    <col min="9" max="9" width="18.425781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0" ht="15.75" thickBot="1" x14ac:dyDescent="0.3">
      <c r="B2" s="41" t="s">
        <v>8</v>
      </c>
      <c r="C2" s="156"/>
      <c r="D2" s="157"/>
      <c r="E2" s="42" t="s">
        <v>10</v>
      </c>
      <c r="F2" s="43">
        <v>610</v>
      </c>
      <c r="G2" s="44" t="s">
        <v>53</v>
      </c>
      <c r="H2" s="183" t="s">
        <v>12</v>
      </c>
      <c r="I2" s="262" t="s">
        <v>52</v>
      </c>
      <c r="J2" s="262"/>
    </row>
    <row r="3" spans="1:10" ht="15.75" thickTop="1" x14ac:dyDescent="0.25">
      <c r="C3" s="154"/>
      <c r="D3" s="46"/>
      <c r="E3" s="47"/>
      <c r="F3" s="48"/>
      <c r="G3" s="49"/>
      <c r="H3" s="50"/>
      <c r="I3" s="50"/>
    </row>
    <row r="4" spans="1:10" x14ac:dyDescent="0.25">
      <c r="C4" s="154"/>
      <c r="D4" s="52"/>
      <c r="E4" s="53"/>
      <c r="F4" s="54"/>
      <c r="G4" s="53"/>
      <c r="H4" s="50"/>
      <c r="I4" s="50"/>
    </row>
    <row r="5" spans="1:10" ht="15.75" thickBot="1" x14ac:dyDescent="0.3">
      <c r="C5" s="122"/>
      <c r="D5" s="52"/>
      <c r="E5" s="53"/>
      <c r="F5" s="54"/>
      <c r="G5" s="53"/>
      <c r="H5" s="50"/>
      <c r="I5" s="50"/>
    </row>
    <row r="6" spans="1:10" ht="15.75" thickBot="1" x14ac:dyDescent="0.3">
      <c r="B6" s="184" t="s">
        <v>13</v>
      </c>
      <c r="C6" s="185" t="s">
        <v>14</v>
      </c>
      <c r="D6" s="186" t="s">
        <v>15</v>
      </c>
      <c r="E6" s="186" t="s">
        <v>16</v>
      </c>
      <c r="F6" s="187" t="s">
        <v>17</v>
      </c>
      <c r="G6" s="188">
        <v>0.25</v>
      </c>
      <c r="H6" s="188">
        <v>0.5</v>
      </c>
      <c r="I6" s="189">
        <v>1</v>
      </c>
      <c r="J6" s="68"/>
    </row>
    <row r="7" spans="1:10" s="6" customFormat="1" ht="15" customHeight="1" x14ac:dyDescent="0.25">
      <c r="A7" s="278"/>
      <c r="B7" s="211" t="s">
        <v>19</v>
      </c>
      <c r="C7" s="212">
        <v>45976</v>
      </c>
      <c r="D7" s="237">
        <v>8</v>
      </c>
      <c r="E7" s="237">
        <f>+D7+14</f>
        <v>22</v>
      </c>
      <c r="F7" s="237">
        <v>13</v>
      </c>
      <c r="G7" s="213"/>
      <c r="H7" s="214" t="s">
        <v>57</v>
      </c>
      <c r="I7" s="214"/>
    </row>
    <row r="8" spans="1:10" s="6" customFormat="1" ht="15" customHeight="1" thickBot="1" x14ac:dyDescent="0.3">
      <c r="A8" s="279"/>
      <c r="B8" s="220" t="s">
        <v>20</v>
      </c>
      <c r="C8" s="235">
        <v>45977</v>
      </c>
      <c r="D8" s="240">
        <v>8</v>
      </c>
      <c r="E8" s="239">
        <f>+D8+14</f>
        <v>22</v>
      </c>
      <c r="F8" s="239">
        <v>13</v>
      </c>
      <c r="G8" s="223"/>
      <c r="H8" s="258" t="s">
        <v>57</v>
      </c>
      <c r="I8" s="223"/>
    </row>
    <row r="9" spans="1:10" s="6" customFormat="1" ht="15" customHeight="1" x14ac:dyDescent="0.25">
      <c r="A9" s="278"/>
      <c r="B9" s="211" t="s">
        <v>21</v>
      </c>
      <c r="C9" s="212">
        <v>45978</v>
      </c>
      <c r="D9" s="221">
        <v>8</v>
      </c>
      <c r="E9" s="219">
        <f>+D9+9</f>
        <v>17</v>
      </c>
      <c r="F9" s="219">
        <v>8</v>
      </c>
      <c r="G9" s="214"/>
      <c r="H9" s="236"/>
      <c r="I9" s="221"/>
    </row>
    <row r="10" spans="1:10" s="6" customFormat="1" ht="15" customHeight="1" x14ac:dyDescent="0.25">
      <c r="A10" s="280"/>
      <c r="B10" s="215" t="s">
        <v>22</v>
      </c>
      <c r="C10" s="216">
        <v>45979</v>
      </c>
      <c r="D10" s="219">
        <v>8</v>
      </c>
      <c r="E10" s="219">
        <f>+D10+9</f>
        <v>17</v>
      </c>
      <c r="F10" s="219">
        <v>8</v>
      </c>
      <c r="G10" s="217"/>
      <c r="H10" s="215"/>
      <c r="I10" s="217"/>
    </row>
    <row r="11" spans="1:10" s="6" customFormat="1" ht="15.75" customHeight="1" x14ac:dyDescent="0.25">
      <c r="A11" s="280"/>
      <c r="B11" s="215" t="s">
        <v>23</v>
      </c>
      <c r="C11" s="216">
        <v>45980</v>
      </c>
      <c r="D11" s="219">
        <v>8</v>
      </c>
      <c r="E11" s="219">
        <f>+D11+9</f>
        <v>17</v>
      </c>
      <c r="F11" s="219">
        <v>8</v>
      </c>
      <c r="G11" s="233"/>
      <c r="H11" s="233"/>
      <c r="I11" s="233"/>
    </row>
    <row r="12" spans="1:10" s="6" customFormat="1" x14ac:dyDescent="0.25">
      <c r="A12" s="280"/>
      <c r="B12" s="215" t="s">
        <v>54</v>
      </c>
      <c r="C12" s="216">
        <v>45981</v>
      </c>
      <c r="D12" s="219">
        <v>7</v>
      </c>
      <c r="E12" s="219">
        <f>+D12+9</f>
        <v>16</v>
      </c>
      <c r="F12" s="219">
        <v>8</v>
      </c>
      <c r="G12" s="217"/>
      <c r="H12" s="215"/>
      <c r="I12" s="233"/>
    </row>
    <row r="13" spans="1:10" s="6" customFormat="1" x14ac:dyDescent="0.25">
      <c r="A13" s="280"/>
      <c r="B13" s="215" t="s">
        <v>18</v>
      </c>
      <c r="C13" s="216">
        <v>45982</v>
      </c>
      <c r="D13" s="219">
        <v>8</v>
      </c>
      <c r="E13" s="219">
        <f>+D13+9</f>
        <v>17</v>
      </c>
      <c r="F13" s="219">
        <v>8</v>
      </c>
      <c r="G13" s="217"/>
      <c r="H13" s="217"/>
      <c r="I13" s="217"/>
    </row>
    <row r="14" spans="1:10" s="6" customFormat="1" x14ac:dyDescent="0.25">
      <c r="A14" s="280"/>
      <c r="B14" s="172" t="s">
        <v>19</v>
      </c>
      <c r="C14" s="192">
        <v>45983</v>
      </c>
      <c r="D14" s="173"/>
      <c r="E14" s="173"/>
      <c r="F14" s="173"/>
      <c r="G14" s="174"/>
      <c r="H14" s="174"/>
      <c r="I14" s="174"/>
    </row>
    <row r="15" spans="1:10" s="6" customFormat="1" ht="15.75" thickBot="1" x14ac:dyDescent="0.3">
      <c r="A15" s="279"/>
      <c r="B15" s="179" t="s">
        <v>20</v>
      </c>
      <c r="C15" s="194">
        <v>45984</v>
      </c>
      <c r="D15" s="180"/>
      <c r="E15" s="180"/>
      <c r="F15" s="180"/>
      <c r="G15" s="181"/>
      <c r="H15" s="181"/>
      <c r="I15" s="181"/>
    </row>
    <row r="16" spans="1:10" s="6" customFormat="1" x14ac:dyDescent="0.25">
      <c r="A16" s="278"/>
      <c r="B16" s="211" t="s">
        <v>21</v>
      </c>
      <c r="C16" s="212">
        <v>45985</v>
      </c>
      <c r="D16" s="221">
        <v>17</v>
      </c>
      <c r="E16" s="221">
        <f>+D16+9</f>
        <v>26</v>
      </c>
      <c r="F16" s="221">
        <v>8</v>
      </c>
      <c r="G16" s="214"/>
      <c r="H16" s="211"/>
      <c r="I16" s="214"/>
    </row>
    <row r="17" spans="1:9" s="6" customFormat="1" x14ac:dyDescent="0.25">
      <c r="A17" s="280"/>
      <c r="B17" s="215" t="s">
        <v>22</v>
      </c>
      <c r="C17" s="216">
        <v>45986</v>
      </c>
      <c r="D17" s="219">
        <v>17</v>
      </c>
      <c r="E17" s="219">
        <f>+D17+9</f>
        <v>26</v>
      </c>
      <c r="F17" s="219">
        <v>8</v>
      </c>
      <c r="G17" s="217"/>
      <c r="H17" s="217"/>
      <c r="I17" s="217"/>
    </row>
    <row r="18" spans="1:9" s="6" customFormat="1" x14ac:dyDescent="0.25">
      <c r="A18" s="280"/>
      <c r="B18" s="172" t="s">
        <v>23</v>
      </c>
      <c r="C18" s="192">
        <v>45987</v>
      </c>
      <c r="D18" s="173"/>
      <c r="E18" s="173"/>
      <c r="F18" s="173"/>
      <c r="G18" s="174"/>
      <c r="H18" s="174"/>
      <c r="I18" s="174"/>
    </row>
    <row r="19" spans="1:9" s="6" customFormat="1" x14ac:dyDescent="0.25">
      <c r="A19" s="280"/>
      <c r="B19" s="172" t="s">
        <v>54</v>
      </c>
      <c r="C19" s="192">
        <v>45988</v>
      </c>
      <c r="D19" s="173"/>
      <c r="E19" s="173"/>
      <c r="F19" s="173"/>
      <c r="G19" s="201"/>
      <c r="H19" s="174"/>
      <c r="I19" s="199"/>
    </row>
    <row r="20" spans="1:9" s="6" customFormat="1" x14ac:dyDescent="0.25">
      <c r="A20" s="280"/>
      <c r="B20" s="215" t="s">
        <v>18</v>
      </c>
      <c r="C20" s="216">
        <v>45989</v>
      </c>
      <c r="D20" s="219">
        <v>17</v>
      </c>
      <c r="E20" s="219">
        <f>+D20+9</f>
        <v>26</v>
      </c>
      <c r="F20" s="219">
        <v>8</v>
      </c>
      <c r="G20" s="225"/>
      <c r="H20" s="217"/>
      <c r="I20" s="217"/>
    </row>
    <row r="21" spans="1:9" s="6" customFormat="1" x14ac:dyDescent="0.25">
      <c r="A21" s="280"/>
      <c r="B21" s="215" t="s">
        <v>19</v>
      </c>
      <c r="C21" s="216">
        <v>45990</v>
      </c>
      <c r="D21" s="219">
        <v>17</v>
      </c>
      <c r="E21" s="219">
        <f>+D21+9</f>
        <v>26</v>
      </c>
      <c r="F21" s="219">
        <v>8</v>
      </c>
      <c r="G21" s="225"/>
      <c r="H21" s="217"/>
      <c r="I21" s="217"/>
    </row>
    <row r="22" spans="1:9" s="6" customFormat="1" ht="15" customHeight="1" thickBot="1" x14ac:dyDescent="0.3">
      <c r="A22" s="279"/>
      <c r="B22" s="220" t="s">
        <v>20</v>
      </c>
      <c r="C22" s="235">
        <v>45991</v>
      </c>
      <c r="D22" s="222">
        <v>17</v>
      </c>
      <c r="E22" s="222">
        <f>+D22+9</f>
        <v>26</v>
      </c>
      <c r="F22" s="222">
        <v>8</v>
      </c>
      <c r="G22" s="223"/>
      <c r="H22" s="220"/>
      <c r="I22" s="223"/>
    </row>
    <row r="23" spans="1:9" s="6" customFormat="1" ht="15" customHeight="1" x14ac:dyDescent="0.25">
      <c r="A23" s="278"/>
      <c r="B23" s="211" t="s">
        <v>21</v>
      </c>
      <c r="C23" s="212">
        <v>45992</v>
      </c>
      <c r="D23" s="221">
        <v>8</v>
      </c>
      <c r="E23" s="221">
        <f>+D23+14</f>
        <v>22</v>
      </c>
      <c r="F23" s="221">
        <v>13</v>
      </c>
      <c r="G23" s="214"/>
      <c r="H23" s="224" t="s">
        <v>57</v>
      </c>
      <c r="I23" s="214"/>
    </row>
    <row r="24" spans="1:9" s="6" customFormat="1" ht="15" customHeight="1" x14ac:dyDescent="0.25">
      <c r="A24" s="280"/>
      <c r="B24" s="215" t="s">
        <v>22</v>
      </c>
      <c r="C24" s="216">
        <v>45993</v>
      </c>
      <c r="D24" s="219">
        <v>8</v>
      </c>
      <c r="E24" s="219">
        <f>+D24+14</f>
        <v>22</v>
      </c>
      <c r="F24" s="219">
        <v>13</v>
      </c>
      <c r="G24" s="217"/>
      <c r="H24" s="256" t="s">
        <v>57</v>
      </c>
      <c r="I24" s="217"/>
    </row>
    <row r="25" spans="1:9" s="6" customFormat="1" ht="15" customHeight="1" x14ac:dyDescent="0.25">
      <c r="A25" s="280"/>
      <c r="B25" s="172" t="s">
        <v>23</v>
      </c>
      <c r="C25" s="192">
        <v>45994</v>
      </c>
      <c r="D25" s="175"/>
      <c r="E25" s="175"/>
      <c r="F25" s="175"/>
      <c r="G25" s="195"/>
      <c r="H25" s="257"/>
      <c r="I25" s="195"/>
    </row>
    <row r="26" spans="1:9" s="6" customFormat="1" ht="15" customHeight="1" x14ac:dyDescent="0.25">
      <c r="A26" s="280"/>
      <c r="B26" s="172" t="s">
        <v>54</v>
      </c>
      <c r="C26" s="192">
        <v>45995</v>
      </c>
      <c r="D26" s="175"/>
      <c r="E26" s="175"/>
      <c r="F26" s="175"/>
      <c r="G26" s="201"/>
      <c r="H26" s="257"/>
      <c r="I26" s="174"/>
    </row>
    <row r="27" spans="1:9" s="6" customFormat="1" ht="15" customHeight="1" x14ac:dyDescent="0.25">
      <c r="A27" s="280"/>
      <c r="B27" s="215" t="s">
        <v>18</v>
      </c>
      <c r="C27" s="216">
        <v>45996</v>
      </c>
      <c r="D27" s="228">
        <v>8</v>
      </c>
      <c r="E27" s="228">
        <f>+D27+14</f>
        <v>22</v>
      </c>
      <c r="F27" s="228">
        <v>13</v>
      </c>
      <c r="G27" s="229"/>
      <c r="H27" s="256" t="s">
        <v>57</v>
      </c>
      <c r="I27" s="231"/>
    </row>
    <row r="28" spans="1:9" s="6" customFormat="1" ht="15.75" customHeight="1" x14ac:dyDescent="0.25">
      <c r="A28" s="280"/>
      <c r="B28" s="215" t="s">
        <v>19</v>
      </c>
      <c r="C28" s="216">
        <v>45997</v>
      </c>
      <c r="D28" s="228">
        <v>8</v>
      </c>
      <c r="E28" s="228">
        <f>+D28+14</f>
        <v>22</v>
      </c>
      <c r="F28" s="228">
        <v>13</v>
      </c>
      <c r="G28" s="217"/>
      <c r="H28" s="228" t="s">
        <v>57</v>
      </c>
      <c r="I28" s="218"/>
    </row>
    <row r="29" spans="1:9" s="6" customFormat="1" ht="15" customHeight="1" thickBot="1" x14ac:dyDescent="0.3">
      <c r="A29" s="279"/>
      <c r="B29" s="220" t="s">
        <v>20</v>
      </c>
      <c r="C29" s="235">
        <v>45998</v>
      </c>
      <c r="D29" s="226">
        <v>8</v>
      </c>
      <c r="E29" s="226">
        <f>+D29+14</f>
        <v>22</v>
      </c>
      <c r="F29" s="226">
        <v>13</v>
      </c>
      <c r="G29" s="223"/>
      <c r="H29" s="255" t="s">
        <v>57</v>
      </c>
      <c r="I29" s="223"/>
    </row>
    <row r="30" spans="1:9" s="6" customFormat="1" ht="15" customHeight="1" x14ac:dyDescent="0.25">
      <c r="A30" s="278"/>
      <c r="B30" s="211" t="s">
        <v>21</v>
      </c>
      <c r="C30" s="212">
        <v>45999</v>
      </c>
      <c r="D30" s="227">
        <v>8</v>
      </c>
      <c r="E30" s="227">
        <v>17</v>
      </c>
      <c r="F30" s="227">
        <v>8</v>
      </c>
      <c r="G30" s="214"/>
      <c r="H30" s="214"/>
      <c r="I30" s="214"/>
    </row>
    <row r="31" spans="1:9" s="6" customFormat="1" ht="15" customHeight="1" x14ac:dyDescent="0.25">
      <c r="A31" s="280"/>
      <c r="B31" s="215" t="s">
        <v>22</v>
      </c>
      <c r="C31" s="216">
        <v>46000</v>
      </c>
      <c r="D31" s="228">
        <v>8</v>
      </c>
      <c r="E31" s="228">
        <f>+D31+9</f>
        <v>17</v>
      </c>
      <c r="F31" s="228">
        <v>8</v>
      </c>
      <c r="G31" s="232"/>
      <c r="H31" s="217"/>
      <c r="I31" s="217"/>
    </row>
    <row r="32" spans="1:9" s="6" customFormat="1" ht="15" customHeight="1" x14ac:dyDescent="0.25">
      <c r="A32" s="280"/>
      <c r="B32" s="215" t="s">
        <v>23</v>
      </c>
      <c r="C32" s="216">
        <v>46001</v>
      </c>
      <c r="D32" s="228">
        <v>8</v>
      </c>
      <c r="E32" s="228">
        <f>+D32+9</f>
        <v>17</v>
      </c>
      <c r="F32" s="228">
        <v>8</v>
      </c>
      <c r="G32" s="232"/>
      <c r="H32" s="217"/>
      <c r="I32" s="217"/>
    </row>
    <row r="33" spans="1:9" s="6" customFormat="1" ht="15" customHeight="1" x14ac:dyDescent="0.25">
      <c r="A33" s="280"/>
      <c r="B33" s="215" t="s">
        <v>54</v>
      </c>
      <c r="C33" s="216">
        <v>46002</v>
      </c>
      <c r="D33" s="228">
        <v>8</v>
      </c>
      <c r="E33" s="228">
        <f>+D33+9</f>
        <v>17</v>
      </c>
      <c r="F33" s="228">
        <v>8</v>
      </c>
      <c r="G33" s="217"/>
      <c r="H33" s="217"/>
      <c r="I33" s="217"/>
    </row>
    <row r="34" spans="1:9" s="6" customFormat="1" ht="15" customHeight="1" x14ac:dyDescent="0.25">
      <c r="A34" s="280"/>
      <c r="B34" s="215" t="s">
        <v>18</v>
      </c>
      <c r="C34" s="216">
        <v>46003</v>
      </c>
      <c r="D34" s="219">
        <v>8</v>
      </c>
      <c r="E34" s="219">
        <f>+D34+9</f>
        <v>17</v>
      </c>
      <c r="F34" s="219">
        <v>8</v>
      </c>
      <c r="G34" s="217"/>
      <c r="H34" s="217"/>
      <c r="I34" s="217"/>
    </row>
    <row r="35" spans="1:9" s="6" customFormat="1" ht="15" customHeight="1" x14ac:dyDescent="0.25">
      <c r="A35" s="280"/>
      <c r="B35" s="172" t="s">
        <v>19</v>
      </c>
      <c r="C35" s="192">
        <v>46004</v>
      </c>
      <c r="D35" s="208"/>
      <c r="E35" s="208"/>
      <c r="F35" s="208"/>
      <c r="G35" s="174"/>
      <c r="H35" s="174"/>
      <c r="I35" s="174"/>
    </row>
    <row r="36" spans="1:9" s="6" customFormat="1" ht="15" customHeight="1" thickBot="1" x14ac:dyDescent="0.3">
      <c r="A36" s="279"/>
      <c r="B36" s="179" t="s">
        <v>20</v>
      </c>
      <c r="C36" s="194">
        <v>46005</v>
      </c>
      <c r="D36" s="241"/>
      <c r="E36" s="241"/>
      <c r="F36" s="241"/>
      <c r="G36" s="181"/>
      <c r="H36" s="181"/>
      <c r="I36" s="181"/>
    </row>
    <row r="37" spans="1:9" ht="15.75" thickBot="1" x14ac:dyDescent="0.3">
      <c r="B37" s="203"/>
      <c r="C37" s="275" t="s">
        <v>56</v>
      </c>
      <c r="D37" s="276"/>
      <c r="E37" s="277"/>
      <c r="F37" s="204">
        <f>SUM(F7:F36)</f>
        <v>211</v>
      </c>
      <c r="G37" s="205"/>
      <c r="H37" s="205">
        <f>SUM(H7:H36)</f>
        <v>0</v>
      </c>
      <c r="I37" s="206">
        <f>SUM(I8:I36)</f>
        <v>0</v>
      </c>
    </row>
    <row r="38" spans="1:9" x14ac:dyDescent="0.25">
      <c r="B38" s="190"/>
      <c r="C38" s="191"/>
    </row>
  </sheetData>
  <mergeCells count="8">
    <mergeCell ref="C37:E37"/>
    <mergeCell ref="I1:J1"/>
    <mergeCell ref="I2:J2"/>
    <mergeCell ref="A7:A8"/>
    <mergeCell ref="A9:A15"/>
    <mergeCell ref="A16:A22"/>
    <mergeCell ref="A23:A29"/>
    <mergeCell ref="A30:A36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>
    <pageSetUpPr fitToPage="1"/>
  </sheetPr>
  <dimension ref="A1:N46"/>
  <sheetViews>
    <sheetView topLeftCell="A19" zoomScaleNormal="100" workbookViewId="0">
      <selection activeCell="D37" sqref="D37"/>
    </sheetView>
  </sheetViews>
  <sheetFormatPr baseColWidth="10" defaultColWidth="9.140625" defaultRowHeight="15" x14ac:dyDescent="0.25"/>
  <cols>
    <col min="1" max="1" width="7.5703125" style="6"/>
    <col min="2" max="2" width="9.85546875" style="6"/>
    <col min="3" max="3" width="11.28515625" style="32"/>
    <col min="4" max="4" width="11.5703125" style="33"/>
    <col min="5" max="5" width="7.7109375" style="33"/>
    <col min="6" max="6" width="12.28515625" style="33"/>
    <col min="7" max="7" width="8.7109375" style="6"/>
    <col min="8" max="8" width="6.5703125" style="6"/>
    <col min="9" max="9" width="6.42578125" style="6"/>
    <col min="10" max="10" width="30.140625" style="6"/>
    <col min="11" max="13" width="10.7109375" style="6"/>
    <col min="14" max="14" width="46.5703125" style="6"/>
    <col min="15" max="1025" width="10.7109375" style="6"/>
    <col min="1026" max="16384" width="9.140625" style="6"/>
  </cols>
  <sheetData>
    <row r="1" spans="1:14" ht="38.25" customHeight="1" x14ac:dyDescent="0.25">
      <c r="B1" s="159" t="s">
        <v>0</v>
      </c>
      <c r="C1" s="7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8" t="s">
        <v>6</v>
      </c>
      <c r="I1" s="281" t="s">
        <v>7</v>
      </c>
      <c r="J1" s="281"/>
    </row>
    <row r="2" spans="1:14" ht="15.75" customHeight="1" x14ac:dyDescent="0.25">
      <c r="B2" s="10" t="s">
        <v>8</v>
      </c>
      <c r="C2" s="11" t="s">
        <v>32</v>
      </c>
      <c r="D2" s="12" t="s">
        <v>9</v>
      </c>
      <c r="E2" s="12" t="s">
        <v>10</v>
      </c>
      <c r="F2" s="13">
        <v>400</v>
      </c>
      <c r="G2" s="10" t="s">
        <v>11</v>
      </c>
      <c r="H2" s="10" t="s">
        <v>12</v>
      </c>
      <c r="I2" s="282" t="s">
        <v>33</v>
      </c>
      <c r="J2" s="282"/>
      <c r="M2" s="34">
        <v>0.25</v>
      </c>
      <c r="N2" s="34" t="s">
        <v>34</v>
      </c>
    </row>
    <row r="3" spans="1:14" ht="15" customHeight="1" x14ac:dyDescent="0.25">
      <c r="C3" s="14"/>
      <c r="D3" s="15"/>
      <c r="E3" s="16"/>
      <c r="F3" s="17"/>
      <c r="G3" s="35"/>
      <c r="M3" s="34">
        <v>0.5</v>
      </c>
      <c r="N3" s="6" t="s">
        <v>35</v>
      </c>
    </row>
    <row r="4" spans="1:14" ht="15" customHeight="1" x14ac:dyDescent="0.25">
      <c r="C4" s="19"/>
      <c r="D4" s="20"/>
      <c r="E4" s="21"/>
      <c r="F4" s="22"/>
      <c r="G4" s="22"/>
      <c r="M4" s="34">
        <v>1</v>
      </c>
      <c r="N4" s="6" t="s">
        <v>36</v>
      </c>
    </row>
    <row r="5" spans="1:14" ht="15.75" customHeight="1" x14ac:dyDescent="0.25">
      <c r="C5" s="19"/>
      <c r="D5" s="20"/>
      <c r="E5" s="21"/>
      <c r="F5" s="22"/>
      <c r="G5" s="22"/>
    </row>
    <row r="6" spans="1:14" ht="15.75" customHeight="1" x14ac:dyDescent="0.25">
      <c r="A6" s="23"/>
      <c r="B6" s="36" t="s">
        <v>13</v>
      </c>
      <c r="C6" s="37" t="s">
        <v>14</v>
      </c>
      <c r="D6" s="38" t="s">
        <v>15</v>
      </c>
      <c r="E6" s="38" t="s">
        <v>16</v>
      </c>
      <c r="F6" s="38" t="s">
        <v>17</v>
      </c>
      <c r="G6" s="38">
        <v>0.25</v>
      </c>
      <c r="H6" s="38">
        <v>0.5</v>
      </c>
      <c r="I6" s="38">
        <v>1</v>
      </c>
    </row>
    <row r="7" spans="1:14" ht="15" customHeight="1" x14ac:dyDescent="0.25">
      <c r="A7" s="23"/>
      <c r="B7" s="1" t="s">
        <v>37</v>
      </c>
      <c r="C7" s="24"/>
      <c r="D7" s="2">
        <v>0</v>
      </c>
      <c r="E7" s="2">
        <v>0</v>
      </c>
      <c r="F7" s="2">
        <f>+E7-D7</f>
        <v>0</v>
      </c>
      <c r="G7" s="3">
        <v>0</v>
      </c>
      <c r="H7" s="3">
        <v>0</v>
      </c>
      <c r="I7" s="3">
        <v>0</v>
      </c>
    </row>
    <row r="8" spans="1:14" ht="15" customHeight="1" x14ac:dyDescent="0.25">
      <c r="A8" s="23"/>
      <c r="B8" s="1" t="s">
        <v>38</v>
      </c>
      <c r="C8" s="24"/>
      <c r="D8" s="2"/>
      <c r="E8" s="2"/>
      <c r="F8" s="2"/>
      <c r="G8" s="3">
        <v>0</v>
      </c>
      <c r="H8" s="3">
        <v>0</v>
      </c>
      <c r="I8" s="3">
        <v>0</v>
      </c>
    </row>
    <row r="9" spans="1:14" ht="15" customHeight="1" x14ac:dyDescent="0.25">
      <c r="A9" s="23"/>
      <c r="B9" s="1" t="s">
        <v>39</v>
      </c>
      <c r="C9" s="24"/>
      <c r="D9" s="2"/>
      <c r="E9" s="2"/>
      <c r="F9" s="2"/>
      <c r="G9" s="3">
        <v>0</v>
      </c>
      <c r="H9" s="3">
        <v>0</v>
      </c>
      <c r="I9" s="3">
        <v>0</v>
      </c>
    </row>
    <row r="10" spans="1:14" ht="15" customHeight="1" x14ac:dyDescent="0.25">
      <c r="A10" s="23"/>
      <c r="B10" s="1" t="s">
        <v>40</v>
      </c>
      <c r="C10" s="24"/>
      <c r="D10" s="2"/>
      <c r="E10" s="2"/>
      <c r="F10" s="2"/>
      <c r="G10" s="3"/>
      <c r="H10" s="3"/>
      <c r="I10" s="3"/>
    </row>
    <row r="11" spans="1:14" ht="15" customHeight="1" x14ac:dyDescent="0.25">
      <c r="A11" s="23"/>
      <c r="B11" s="1" t="s">
        <v>41</v>
      </c>
      <c r="C11" s="24"/>
      <c r="D11" s="2"/>
      <c r="E11" s="2"/>
      <c r="F11" s="2"/>
      <c r="G11" s="3"/>
      <c r="H11" s="3"/>
      <c r="I11" s="3"/>
    </row>
    <row r="12" spans="1:14" ht="15" customHeight="1" x14ac:dyDescent="0.25">
      <c r="A12" s="23"/>
      <c r="B12" s="1" t="s">
        <v>42</v>
      </c>
      <c r="C12" s="24">
        <v>41713</v>
      </c>
      <c r="D12" s="2">
        <v>8</v>
      </c>
      <c r="E12" s="2">
        <v>16</v>
      </c>
      <c r="F12" s="2">
        <f t="shared" ref="F12:F42" si="0">+E12-D12</f>
        <v>8</v>
      </c>
      <c r="G12" s="3"/>
      <c r="H12" s="3"/>
      <c r="I12" s="3"/>
    </row>
    <row r="13" spans="1:14" ht="15" customHeight="1" x14ac:dyDescent="0.25">
      <c r="A13" s="23"/>
      <c r="B13" s="1" t="s">
        <v>43</v>
      </c>
      <c r="C13" s="24">
        <v>41714</v>
      </c>
      <c r="D13" s="2">
        <v>8</v>
      </c>
      <c r="E13" s="2">
        <v>16</v>
      </c>
      <c r="F13" s="2">
        <f t="shared" si="0"/>
        <v>8</v>
      </c>
      <c r="G13" s="3"/>
      <c r="H13" s="3"/>
      <c r="I13" s="3"/>
    </row>
    <row r="14" spans="1:14" ht="15" customHeight="1" x14ac:dyDescent="0.25">
      <c r="A14" s="23"/>
      <c r="B14" s="1" t="s">
        <v>37</v>
      </c>
      <c r="C14" s="24">
        <v>41715</v>
      </c>
      <c r="D14" s="2">
        <v>8</v>
      </c>
      <c r="E14" s="2">
        <v>16</v>
      </c>
      <c r="F14" s="2">
        <f t="shared" si="0"/>
        <v>8</v>
      </c>
      <c r="G14" s="3"/>
      <c r="H14" s="3"/>
      <c r="I14" s="3"/>
    </row>
    <row r="15" spans="1:14" ht="15" customHeight="1" x14ac:dyDescent="0.25">
      <c r="A15" s="23"/>
      <c r="B15" s="4" t="s">
        <v>38</v>
      </c>
      <c r="C15" s="39">
        <v>41716</v>
      </c>
      <c r="D15" s="5">
        <v>0</v>
      </c>
      <c r="E15" s="5">
        <v>0</v>
      </c>
      <c r="F15" s="5">
        <f t="shared" si="0"/>
        <v>0</v>
      </c>
      <c r="G15" s="3"/>
      <c r="H15" s="3"/>
      <c r="I15" s="3"/>
    </row>
    <row r="16" spans="1:14" ht="15" customHeight="1" x14ac:dyDescent="0.25">
      <c r="A16" s="23"/>
      <c r="B16" s="4" t="s">
        <v>39</v>
      </c>
      <c r="C16" s="39">
        <v>41717</v>
      </c>
      <c r="D16" s="5">
        <v>0</v>
      </c>
      <c r="E16" s="5">
        <v>0</v>
      </c>
      <c r="F16" s="5">
        <f t="shared" si="0"/>
        <v>0</v>
      </c>
      <c r="G16" s="3"/>
      <c r="H16" s="3"/>
      <c r="I16" s="3"/>
    </row>
    <row r="17" spans="1:10" ht="15" customHeight="1" x14ac:dyDescent="0.25">
      <c r="A17" s="23"/>
      <c r="B17" s="1" t="s">
        <v>40</v>
      </c>
      <c r="C17" s="24">
        <v>41718</v>
      </c>
      <c r="D17" s="2">
        <v>8</v>
      </c>
      <c r="E17" s="2">
        <v>16</v>
      </c>
      <c r="F17" s="2">
        <f t="shared" si="0"/>
        <v>8</v>
      </c>
      <c r="G17" s="3"/>
      <c r="H17" s="3"/>
      <c r="I17" s="3"/>
    </row>
    <row r="18" spans="1:10" ht="15" customHeight="1" x14ac:dyDescent="0.25">
      <c r="A18" s="23"/>
      <c r="B18" s="1" t="s">
        <v>41</v>
      </c>
      <c r="C18" s="24">
        <v>41719</v>
      </c>
      <c r="D18" s="2">
        <v>8</v>
      </c>
      <c r="E18" s="2">
        <v>16</v>
      </c>
      <c r="F18" s="2">
        <f t="shared" si="0"/>
        <v>8</v>
      </c>
      <c r="G18" s="3"/>
      <c r="H18" s="3"/>
      <c r="I18" s="3"/>
      <c r="J18" s="3"/>
    </row>
    <row r="19" spans="1:10" ht="15" customHeight="1" x14ac:dyDescent="0.25">
      <c r="A19" s="23"/>
      <c r="B19" s="1" t="s">
        <v>42</v>
      </c>
      <c r="C19" s="24">
        <v>41720</v>
      </c>
      <c r="D19" s="2">
        <v>8</v>
      </c>
      <c r="E19" s="2">
        <v>16</v>
      </c>
      <c r="F19" s="2">
        <f t="shared" si="0"/>
        <v>8</v>
      </c>
      <c r="G19" s="3"/>
      <c r="H19" s="3"/>
      <c r="I19" s="3"/>
      <c r="J19" s="3"/>
    </row>
    <row r="20" spans="1:10" ht="15" customHeight="1" x14ac:dyDescent="0.25">
      <c r="A20" s="23"/>
      <c r="B20" s="1" t="s">
        <v>43</v>
      </c>
      <c r="C20" s="24">
        <v>41721</v>
      </c>
      <c r="D20" s="2">
        <v>8</v>
      </c>
      <c r="E20" s="2">
        <v>16</v>
      </c>
      <c r="F20" s="2">
        <f t="shared" si="0"/>
        <v>8</v>
      </c>
      <c r="G20" s="3"/>
      <c r="H20" s="3"/>
      <c r="I20" s="3"/>
      <c r="J20" s="3"/>
    </row>
    <row r="21" spans="1:10" ht="15" customHeight="1" x14ac:dyDescent="0.25">
      <c r="A21" s="23"/>
      <c r="B21" s="1" t="s">
        <v>37</v>
      </c>
      <c r="C21" s="24">
        <v>41722</v>
      </c>
      <c r="D21" s="2">
        <v>8</v>
      </c>
      <c r="E21" s="2">
        <v>16</v>
      </c>
      <c r="F21" s="2">
        <f t="shared" si="0"/>
        <v>8</v>
      </c>
      <c r="G21" s="3"/>
      <c r="H21" s="3"/>
      <c r="I21" s="3"/>
      <c r="J21" s="3"/>
    </row>
    <row r="22" spans="1:10" ht="15" customHeight="1" x14ac:dyDescent="0.25">
      <c r="A22" s="23"/>
      <c r="B22" s="4" t="s">
        <v>38</v>
      </c>
      <c r="C22" s="39">
        <v>41723</v>
      </c>
      <c r="D22" s="5">
        <v>0</v>
      </c>
      <c r="E22" s="5">
        <v>0</v>
      </c>
      <c r="F22" s="5">
        <f t="shared" si="0"/>
        <v>0</v>
      </c>
      <c r="G22" s="3"/>
      <c r="H22" s="3"/>
      <c r="I22" s="3"/>
      <c r="J22" s="3"/>
    </row>
    <row r="23" spans="1:10" ht="15" customHeight="1" x14ac:dyDescent="0.25">
      <c r="A23" s="23"/>
      <c r="B23" s="1" t="s">
        <v>39</v>
      </c>
      <c r="C23" s="24">
        <v>41724</v>
      </c>
      <c r="D23" s="2">
        <v>8</v>
      </c>
      <c r="E23" s="2">
        <v>16</v>
      </c>
      <c r="F23" s="2">
        <f t="shared" si="0"/>
        <v>8</v>
      </c>
      <c r="G23" s="3"/>
      <c r="H23" s="3"/>
      <c r="I23" s="3"/>
    </row>
    <row r="24" spans="1:10" ht="15" customHeight="1" x14ac:dyDescent="0.25">
      <c r="A24" s="23"/>
      <c r="B24" s="1" t="s">
        <v>40</v>
      </c>
      <c r="C24" s="24">
        <v>41725</v>
      </c>
      <c r="D24" s="2">
        <v>8</v>
      </c>
      <c r="E24" s="2">
        <v>16</v>
      </c>
      <c r="F24" s="2">
        <f t="shared" si="0"/>
        <v>8</v>
      </c>
      <c r="G24" s="3"/>
      <c r="H24" s="3"/>
      <c r="I24" s="3"/>
    </row>
    <row r="25" spans="1:10" ht="15" customHeight="1" x14ac:dyDescent="0.25">
      <c r="A25" s="23"/>
      <c r="B25" s="1" t="s">
        <v>41</v>
      </c>
      <c r="C25" s="24">
        <v>41726</v>
      </c>
      <c r="D25" s="2">
        <v>8</v>
      </c>
      <c r="E25" s="2">
        <v>16</v>
      </c>
      <c r="F25" s="2">
        <f t="shared" si="0"/>
        <v>8</v>
      </c>
      <c r="G25" s="3"/>
      <c r="H25" s="3"/>
      <c r="I25" s="3"/>
    </row>
    <row r="26" spans="1:10" ht="15" customHeight="1" x14ac:dyDescent="0.25">
      <c r="A26" s="23"/>
      <c r="B26" s="4" t="s">
        <v>42</v>
      </c>
      <c r="C26" s="39">
        <v>41727</v>
      </c>
      <c r="D26" s="5">
        <v>0</v>
      </c>
      <c r="E26" s="5">
        <v>0</v>
      </c>
      <c r="F26" s="5">
        <f t="shared" si="0"/>
        <v>0</v>
      </c>
      <c r="G26" s="3"/>
      <c r="H26" s="3"/>
      <c r="I26" s="3"/>
    </row>
    <row r="27" spans="1:10" ht="15" customHeight="1" x14ac:dyDescent="0.25">
      <c r="A27" s="23"/>
      <c r="B27" s="4" t="s">
        <v>43</v>
      </c>
      <c r="C27" s="39">
        <v>41728</v>
      </c>
      <c r="D27" s="5">
        <v>0</v>
      </c>
      <c r="E27" s="5">
        <v>0</v>
      </c>
      <c r="F27" s="5">
        <f t="shared" si="0"/>
        <v>0</v>
      </c>
      <c r="G27" s="3"/>
      <c r="H27" s="3"/>
      <c r="I27" s="3"/>
    </row>
    <row r="28" spans="1:10" ht="15" customHeight="1" x14ac:dyDescent="0.25">
      <c r="A28" s="23"/>
      <c r="B28" s="1" t="s">
        <v>37</v>
      </c>
      <c r="C28" s="24">
        <v>41729</v>
      </c>
      <c r="D28" s="2">
        <v>8</v>
      </c>
      <c r="E28" s="2">
        <v>16</v>
      </c>
      <c r="F28" s="2">
        <f t="shared" si="0"/>
        <v>8</v>
      </c>
      <c r="G28" s="3"/>
      <c r="H28" s="3"/>
      <c r="I28" s="3"/>
    </row>
    <row r="29" spans="1:10" ht="15" customHeight="1" x14ac:dyDescent="0.25">
      <c r="A29" s="23"/>
      <c r="B29" s="1" t="s">
        <v>38</v>
      </c>
      <c r="C29" s="24">
        <v>41730</v>
      </c>
      <c r="D29" s="2">
        <v>8</v>
      </c>
      <c r="E29" s="2">
        <v>16</v>
      </c>
      <c r="F29" s="2">
        <f t="shared" si="0"/>
        <v>8</v>
      </c>
      <c r="G29" s="3"/>
      <c r="H29" s="3"/>
      <c r="I29" s="3"/>
    </row>
    <row r="30" spans="1:10" ht="15" customHeight="1" x14ac:dyDescent="0.25">
      <c r="A30" s="23"/>
      <c r="B30" s="1" t="s">
        <v>39</v>
      </c>
      <c r="C30" s="24">
        <v>41731</v>
      </c>
      <c r="D30" s="2">
        <v>8</v>
      </c>
      <c r="E30" s="2">
        <v>16</v>
      </c>
      <c r="F30" s="2">
        <f t="shared" si="0"/>
        <v>8</v>
      </c>
      <c r="G30" s="3"/>
      <c r="H30" s="3"/>
      <c r="I30" s="3"/>
    </row>
    <row r="31" spans="1:10" ht="15" customHeight="1" x14ac:dyDescent="0.25">
      <c r="A31" s="23"/>
      <c r="B31" s="1" t="s">
        <v>40</v>
      </c>
      <c r="C31" s="24">
        <v>41732</v>
      </c>
      <c r="D31" s="2">
        <v>8</v>
      </c>
      <c r="E31" s="2">
        <v>16</v>
      </c>
      <c r="F31" s="2">
        <f t="shared" si="0"/>
        <v>8</v>
      </c>
      <c r="G31" s="3"/>
      <c r="H31" s="3"/>
      <c r="I31" s="3"/>
    </row>
    <row r="32" spans="1:10" ht="15" customHeight="1" x14ac:dyDescent="0.25">
      <c r="A32" s="23"/>
      <c r="B32" s="4" t="s">
        <v>41</v>
      </c>
      <c r="C32" s="39">
        <v>41733</v>
      </c>
      <c r="D32" s="5">
        <v>0</v>
      </c>
      <c r="E32" s="5">
        <v>0</v>
      </c>
      <c r="F32" s="5">
        <f t="shared" si="0"/>
        <v>0</v>
      </c>
      <c r="G32" s="3"/>
      <c r="H32" s="3"/>
      <c r="I32" s="3"/>
    </row>
    <row r="33" spans="1:9" ht="15" customHeight="1" x14ac:dyDescent="0.25">
      <c r="A33" s="23"/>
      <c r="B33" s="1" t="s">
        <v>42</v>
      </c>
      <c r="C33" s="24">
        <v>41734</v>
      </c>
      <c r="D33" s="2">
        <v>8</v>
      </c>
      <c r="E33" s="2">
        <v>16</v>
      </c>
      <c r="F33" s="2">
        <f t="shared" si="0"/>
        <v>8</v>
      </c>
      <c r="G33" s="3"/>
      <c r="H33" s="3"/>
      <c r="I33" s="3"/>
    </row>
    <row r="34" spans="1:9" ht="15" customHeight="1" x14ac:dyDescent="0.25">
      <c r="A34" s="23"/>
      <c r="B34" s="1" t="s">
        <v>43</v>
      </c>
      <c r="C34" s="24">
        <v>41735</v>
      </c>
      <c r="D34" s="2">
        <v>8</v>
      </c>
      <c r="E34" s="2">
        <v>16</v>
      </c>
      <c r="F34" s="2">
        <f t="shared" si="0"/>
        <v>8</v>
      </c>
      <c r="G34" s="3"/>
      <c r="H34" s="3"/>
      <c r="I34" s="3"/>
    </row>
    <row r="35" spans="1:9" ht="15" customHeight="1" x14ac:dyDescent="0.25">
      <c r="A35" s="23"/>
      <c r="B35" s="1" t="s">
        <v>37</v>
      </c>
      <c r="C35" s="24">
        <v>41736</v>
      </c>
      <c r="D35" s="2">
        <v>8</v>
      </c>
      <c r="E35" s="2">
        <v>16</v>
      </c>
      <c r="F35" s="2">
        <f t="shared" si="0"/>
        <v>8</v>
      </c>
      <c r="G35" s="3"/>
      <c r="H35" s="3"/>
      <c r="I35" s="3"/>
    </row>
    <row r="36" spans="1:9" ht="15.75" customHeight="1" x14ac:dyDescent="0.25">
      <c r="A36" s="23"/>
      <c r="B36" s="1" t="s">
        <v>38</v>
      </c>
      <c r="C36" s="24">
        <v>41737</v>
      </c>
      <c r="D36" s="2">
        <v>8</v>
      </c>
      <c r="E36" s="2">
        <v>16</v>
      </c>
      <c r="F36" s="2">
        <f t="shared" si="0"/>
        <v>8</v>
      </c>
      <c r="G36" s="3"/>
      <c r="H36" s="3"/>
      <c r="I36" s="3"/>
    </row>
    <row r="37" spans="1:9" ht="15.75" customHeight="1" x14ac:dyDescent="0.25">
      <c r="A37" s="23"/>
      <c r="B37" s="4" t="s">
        <v>39</v>
      </c>
      <c r="C37" s="39">
        <v>41738</v>
      </c>
      <c r="D37" s="5">
        <v>0</v>
      </c>
      <c r="E37" s="5">
        <v>0</v>
      </c>
      <c r="F37" s="5">
        <f t="shared" si="0"/>
        <v>0</v>
      </c>
      <c r="G37" s="3"/>
      <c r="H37" s="3"/>
      <c r="I37" s="25"/>
    </row>
    <row r="38" spans="1:9" ht="15.75" customHeight="1" x14ac:dyDescent="0.25">
      <c r="A38" s="23"/>
      <c r="B38" s="1" t="s">
        <v>40</v>
      </c>
      <c r="C38" s="24">
        <v>41739</v>
      </c>
      <c r="D38" s="2">
        <v>8</v>
      </c>
      <c r="E38" s="2">
        <v>16</v>
      </c>
      <c r="F38" s="2">
        <f t="shared" si="0"/>
        <v>8</v>
      </c>
      <c r="G38" s="3"/>
      <c r="H38" s="25"/>
      <c r="I38" s="25"/>
    </row>
    <row r="39" spans="1:9" ht="15.75" customHeight="1" x14ac:dyDescent="0.25">
      <c r="A39" s="23"/>
      <c r="B39" s="1" t="s">
        <v>41</v>
      </c>
      <c r="C39" s="24">
        <v>41740</v>
      </c>
      <c r="D39" s="2">
        <v>8</v>
      </c>
      <c r="E39" s="2">
        <v>16</v>
      </c>
      <c r="F39" s="2">
        <f t="shared" si="0"/>
        <v>8</v>
      </c>
      <c r="G39" s="3"/>
      <c r="H39" s="25"/>
      <c r="I39" s="25"/>
    </row>
    <row r="40" spans="1:9" ht="15" customHeight="1" x14ac:dyDescent="0.25">
      <c r="A40" s="23"/>
      <c r="B40" s="4" t="s">
        <v>42</v>
      </c>
      <c r="C40" s="39">
        <v>41741</v>
      </c>
      <c r="D40" s="5">
        <v>0</v>
      </c>
      <c r="E40" s="5">
        <v>0</v>
      </c>
      <c r="F40" s="5">
        <f t="shared" si="0"/>
        <v>0</v>
      </c>
      <c r="G40" s="3"/>
      <c r="H40" s="25"/>
      <c r="I40" s="25"/>
    </row>
    <row r="41" spans="1:9" ht="15" customHeight="1" x14ac:dyDescent="0.25">
      <c r="A41" s="23"/>
      <c r="B41" s="4" t="s">
        <v>43</v>
      </c>
      <c r="C41" s="39">
        <v>41742</v>
      </c>
      <c r="D41" s="5">
        <v>0</v>
      </c>
      <c r="E41" s="5">
        <v>0</v>
      </c>
      <c r="F41" s="5">
        <f t="shared" si="0"/>
        <v>0</v>
      </c>
      <c r="G41" s="3">
        <v>0</v>
      </c>
      <c r="H41" s="25"/>
      <c r="I41" s="25">
        <v>0</v>
      </c>
    </row>
    <row r="42" spans="1:9" ht="15" customHeight="1" x14ac:dyDescent="0.25">
      <c r="B42" s="1" t="s">
        <v>37</v>
      </c>
      <c r="C42" s="24">
        <v>41743</v>
      </c>
      <c r="D42" s="2">
        <v>8</v>
      </c>
      <c r="E42" s="2">
        <v>16</v>
      </c>
      <c r="F42" s="2">
        <f t="shared" si="0"/>
        <v>8</v>
      </c>
      <c r="G42" s="3"/>
      <c r="H42" s="25"/>
      <c r="I42" s="25"/>
    </row>
    <row r="43" spans="1:9" ht="15" customHeight="1" x14ac:dyDescent="0.25">
      <c r="B43" s="1"/>
      <c r="C43" s="24"/>
      <c r="D43" s="2"/>
      <c r="E43" s="2"/>
      <c r="F43" s="2"/>
      <c r="G43" s="3"/>
      <c r="H43" s="25"/>
      <c r="I43" s="25"/>
    </row>
    <row r="44" spans="1:9" ht="15" customHeight="1" x14ac:dyDescent="0.25">
      <c r="B44" s="1"/>
      <c r="C44" s="24"/>
      <c r="D44" s="2"/>
      <c r="E44" s="2"/>
      <c r="F44" s="2"/>
      <c r="G44" s="3"/>
      <c r="H44" s="25"/>
      <c r="I44" s="25"/>
    </row>
    <row r="45" spans="1:9" ht="15" customHeight="1" x14ac:dyDescent="0.25">
      <c r="B45" s="26"/>
      <c r="C45" s="27"/>
      <c r="D45" s="28"/>
      <c r="E45" s="28"/>
      <c r="F45" s="28"/>
      <c r="G45" s="29"/>
      <c r="H45" s="18"/>
      <c r="I45" s="18"/>
    </row>
    <row r="46" spans="1:9" ht="15" customHeight="1" x14ac:dyDescent="0.25">
      <c r="B46" s="26"/>
      <c r="C46" s="283" t="s">
        <v>29</v>
      </c>
      <c r="D46" s="283"/>
      <c r="E46" s="283"/>
      <c r="F46" s="30">
        <f>SUM(F7:F43)</f>
        <v>176</v>
      </c>
      <c r="G46" s="31">
        <f>SUM(G7:G45)</f>
        <v>0</v>
      </c>
      <c r="H46" s="31">
        <f>SUM(H7:H37)</f>
        <v>0</v>
      </c>
      <c r="I46" s="31">
        <f>SUM(I7:I41)</f>
        <v>0</v>
      </c>
    </row>
  </sheetData>
  <mergeCells count="3">
    <mergeCell ref="I1:J1"/>
    <mergeCell ref="I2:J2"/>
    <mergeCell ref="C46:E46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5"/>
  <dimension ref="B1:K41"/>
  <sheetViews>
    <sheetView showGridLines="0" topLeftCell="A28" zoomScaleNormal="100" workbookViewId="0">
      <selection activeCell="E36" sqref="E36"/>
    </sheetView>
  </sheetViews>
  <sheetFormatPr baseColWidth="10" defaultColWidth="9.140625" defaultRowHeight="15" x14ac:dyDescent="0.25"/>
  <cols>
    <col min="1" max="6" width="12.7109375" customWidth="1"/>
    <col min="7" max="7" width="24" bestFit="1" customWidth="1"/>
  </cols>
  <sheetData>
    <row r="1" spans="2:11" ht="38.25" customHeight="1" thickTop="1" x14ac:dyDescent="0.25">
      <c r="B1" s="152" t="s">
        <v>0</v>
      </c>
      <c r="C1" s="152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7" t="s">
        <v>7</v>
      </c>
      <c r="J1" s="267"/>
    </row>
    <row r="2" spans="2:11" ht="15.75" customHeight="1" thickBot="1" x14ac:dyDescent="0.3">
      <c r="B2" s="41" t="s">
        <v>8</v>
      </c>
      <c r="C2" s="69">
        <v>502725393</v>
      </c>
      <c r="D2" s="42" t="s">
        <v>9</v>
      </c>
      <c r="E2" s="42" t="s">
        <v>10</v>
      </c>
      <c r="F2" s="43">
        <v>400</v>
      </c>
      <c r="G2" s="44" t="s">
        <v>11</v>
      </c>
      <c r="H2" s="44" t="s">
        <v>12</v>
      </c>
      <c r="I2" s="268" t="s">
        <v>44</v>
      </c>
      <c r="J2" s="268"/>
    </row>
    <row r="3" spans="2:11" ht="15" customHeight="1" thickTop="1" x14ac:dyDescent="0.25">
      <c r="C3" s="45"/>
      <c r="D3" s="46"/>
      <c r="E3" s="47"/>
      <c r="F3" s="48"/>
      <c r="G3" s="49"/>
      <c r="H3" s="50"/>
      <c r="I3" s="50"/>
    </row>
    <row r="4" spans="2:11" ht="15" customHeight="1" x14ac:dyDescent="0.25">
      <c r="C4" s="51"/>
      <c r="D4" s="52"/>
      <c r="E4" s="53"/>
      <c r="F4" s="54"/>
      <c r="G4" s="54"/>
    </row>
    <row r="5" spans="2:11" ht="15.75" customHeight="1" thickBot="1" x14ac:dyDescent="0.3">
      <c r="C5" s="51"/>
      <c r="D5" s="52"/>
      <c r="E5" s="53"/>
      <c r="F5" s="54"/>
      <c r="G5" s="54"/>
    </row>
    <row r="6" spans="2:11" ht="15.75" customHeight="1" thickTop="1" thickBot="1" x14ac:dyDescent="0.3">
      <c r="B6" s="55" t="s">
        <v>13</v>
      </c>
      <c r="C6" s="56" t="s">
        <v>14</v>
      </c>
      <c r="D6" s="57" t="s">
        <v>15</v>
      </c>
      <c r="E6" s="57" t="s">
        <v>16</v>
      </c>
      <c r="F6" s="57" t="s">
        <v>17</v>
      </c>
      <c r="G6" s="57">
        <v>0.25</v>
      </c>
      <c r="H6" s="57">
        <v>0.5</v>
      </c>
      <c r="I6" s="57">
        <v>1</v>
      </c>
    </row>
    <row r="7" spans="2:11" ht="15" customHeight="1" thickTop="1" x14ac:dyDescent="0.25">
      <c r="B7" s="1" t="e">
        <f>#REF!</f>
        <v>#REF!</v>
      </c>
      <c r="C7" s="24" t="e">
        <f>#REF!</f>
        <v>#REF!</v>
      </c>
      <c r="D7" s="2">
        <v>20.010000000000002</v>
      </c>
      <c r="E7" s="2">
        <v>26</v>
      </c>
      <c r="F7" s="2">
        <f>SUM(E7-D7)</f>
        <v>5.9899999999999984</v>
      </c>
      <c r="G7" s="3"/>
      <c r="H7" s="3"/>
      <c r="I7" s="3"/>
    </row>
    <row r="8" spans="2:11" ht="15" customHeight="1" x14ac:dyDescent="0.25">
      <c r="B8" s="1" t="e">
        <f>#REF!</f>
        <v>#REF!</v>
      </c>
      <c r="C8" s="24" t="e">
        <f>#REF!</f>
        <v>#REF!</v>
      </c>
      <c r="D8" s="2">
        <v>13.18</v>
      </c>
      <c r="E8" s="2">
        <v>19.27</v>
      </c>
      <c r="F8" s="2">
        <f t="shared" ref="F8:F37" si="0">SUM(E8-D8)</f>
        <v>6.09</v>
      </c>
      <c r="G8" s="3"/>
      <c r="H8" s="3"/>
      <c r="I8" s="3"/>
    </row>
    <row r="9" spans="2:11" ht="15" customHeight="1" x14ac:dyDescent="0.25">
      <c r="B9" s="1" t="e">
        <f>#REF!</f>
        <v>#REF!</v>
      </c>
      <c r="C9" s="24" t="e">
        <f>#REF!</f>
        <v>#REF!</v>
      </c>
      <c r="D9" s="2">
        <v>13.01</v>
      </c>
      <c r="E9" s="2">
        <v>19.03</v>
      </c>
      <c r="F9" s="2">
        <f t="shared" si="0"/>
        <v>6.0200000000000014</v>
      </c>
      <c r="G9" s="3"/>
      <c r="H9" s="3"/>
      <c r="I9" s="3"/>
    </row>
    <row r="10" spans="2:11" ht="15" customHeight="1" x14ac:dyDescent="0.25">
      <c r="B10" s="1" t="e">
        <f>#REF!</f>
        <v>#REF!</v>
      </c>
      <c r="C10" s="24" t="e">
        <f>#REF!</f>
        <v>#REF!</v>
      </c>
      <c r="D10" s="2">
        <v>14.11</v>
      </c>
      <c r="E10" s="2">
        <v>20.010000000000002</v>
      </c>
      <c r="F10" s="2">
        <f t="shared" si="0"/>
        <v>5.9000000000000021</v>
      </c>
      <c r="G10" s="3"/>
      <c r="H10" s="3"/>
      <c r="I10" s="3"/>
    </row>
    <row r="11" spans="2:11" ht="15" customHeight="1" x14ac:dyDescent="0.25">
      <c r="B11" s="1" t="e">
        <f>#REF!</f>
        <v>#REF!</v>
      </c>
      <c r="C11" s="24" t="e">
        <f>#REF!</f>
        <v>#REF!</v>
      </c>
      <c r="D11" s="2">
        <v>14.02</v>
      </c>
      <c r="E11" s="2">
        <v>20</v>
      </c>
      <c r="F11" s="2">
        <f t="shared" si="0"/>
        <v>5.98</v>
      </c>
      <c r="G11" s="3"/>
      <c r="H11" s="3"/>
      <c r="I11" s="3"/>
      <c r="K11" s="70"/>
    </row>
    <row r="12" spans="2:11" ht="15" customHeight="1" x14ac:dyDescent="0.25">
      <c r="B12" s="1" t="e">
        <f>#REF!</f>
        <v>#REF!</v>
      </c>
      <c r="C12" s="24" t="e">
        <f>#REF!</f>
        <v>#REF!</v>
      </c>
      <c r="D12" s="2">
        <v>7.59</v>
      </c>
      <c r="E12" s="2">
        <v>14</v>
      </c>
      <c r="F12" s="2">
        <f t="shared" si="0"/>
        <v>6.41</v>
      </c>
      <c r="G12" s="3"/>
      <c r="H12" s="3"/>
      <c r="I12" s="3"/>
      <c r="K12" s="70"/>
    </row>
    <row r="13" spans="2:11" ht="15" customHeight="1" x14ac:dyDescent="0.25">
      <c r="B13" s="75" t="e">
        <f>#REF!</f>
        <v>#REF!</v>
      </c>
      <c r="C13" s="76" t="e">
        <f>#REF!</f>
        <v>#REF!</v>
      </c>
      <c r="D13" s="73">
        <v>0</v>
      </c>
      <c r="E13" s="73">
        <v>0</v>
      </c>
      <c r="F13" s="73">
        <f t="shared" si="0"/>
        <v>0</v>
      </c>
      <c r="G13" s="74"/>
      <c r="H13" s="74"/>
      <c r="I13" s="74"/>
    </row>
    <row r="14" spans="2:11" ht="15" customHeight="1" x14ac:dyDescent="0.25">
      <c r="B14" s="1" t="e">
        <f>#REF!</f>
        <v>#REF!</v>
      </c>
      <c r="C14" s="24" t="e">
        <f>#REF!</f>
        <v>#REF!</v>
      </c>
      <c r="D14" s="2">
        <v>20</v>
      </c>
      <c r="E14" s="2">
        <v>26</v>
      </c>
      <c r="F14" s="2">
        <f t="shared" si="0"/>
        <v>6</v>
      </c>
      <c r="G14" s="3"/>
      <c r="H14" s="3"/>
      <c r="I14" s="3"/>
    </row>
    <row r="15" spans="2:11" ht="15" customHeight="1" x14ac:dyDescent="0.25">
      <c r="B15" s="1" t="e">
        <f>#REF!</f>
        <v>#REF!</v>
      </c>
      <c r="C15" s="24" t="e">
        <f>#REF!</f>
        <v>#REF!</v>
      </c>
      <c r="D15" s="2">
        <v>13.04</v>
      </c>
      <c r="E15" s="2">
        <v>19</v>
      </c>
      <c r="F15" s="2">
        <f t="shared" si="0"/>
        <v>5.9600000000000009</v>
      </c>
      <c r="G15" s="3"/>
      <c r="H15" s="3"/>
      <c r="I15" s="3"/>
    </row>
    <row r="16" spans="2:11" x14ac:dyDescent="0.25">
      <c r="B16" s="75" t="e">
        <f>#REF!</f>
        <v>#REF!</v>
      </c>
      <c r="C16" s="76" t="e">
        <f>#REF!</f>
        <v>#REF!</v>
      </c>
      <c r="D16" s="73">
        <v>0</v>
      </c>
      <c r="E16" s="73">
        <v>0</v>
      </c>
      <c r="F16" s="73">
        <f t="shared" si="0"/>
        <v>0</v>
      </c>
      <c r="G16" s="74"/>
      <c r="H16" s="74"/>
      <c r="I16" s="74"/>
      <c r="K16" s="70"/>
    </row>
    <row r="17" spans="2:11" ht="15" customHeight="1" x14ac:dyDescent="0.25">
      <c r="B17" s="1" t="e">
        <f>#REF!</f>
        <v>#REF!</v>
      </c>
      <c r="C17" s="24" t="e">
        <f>#REF!</f>
        <v>#REF!</v>
      </c>
      <c r="D17" s="2">
        <v>14.02</v>
      </c>
      <c r="E17" s="2">
        <v>19.59</v>
      </c>
      <c r="F17" s="2">
        <f t="shared" si="0"/>
        <v>5.57</v>
      </c>
      <c r="G17" s="3"/>
      <c r="H17" s="3"/>
      <c r="I17" s="3"/>
    </row>
    <row r="18" spans="2:11" ht="15" customHeight="1" x14ac:dyDescent="0.25">
      <c r="B18" s="1" t="e">
        <f>#REF!</f>
        <v>#REF!</v>
      </c>
      <c r="C18" s="24" t="e">
        <f>#REF!</f>
        <v>#REF!</v>
      </c>
      <c r="D18" s="2">
        <v>20.03</v>
      </c>
      <c r="E18" s="2">
        <v>26.03</v>
      </c>
      <c r="F18" s="2">
        <f t="shared" si="0"/>
        <v>6</v>
      </c>
      <c r="G18" s="3"/>
      <c r="H18" s="3"/>
      <c r="I18" s="3"/>
    </row>
    <row r="19" spans="2:11" ht="15" customHeight="1" x14ac:dyDescent="0.25">
      <c r="B19" s="1" t="e">
        <f>#REF!</f>
        <v>#REF!</v>
      </c>
      <c r="C19" s="24" t="e">
        <f>#REF!</f>
        <v>#REF!</v>
      </c>
      <c r="D19" s="2">
        <v>12.59</v>
      </c>
      <c r="E19" s="2">
        <v>18.579999999999998</v>
      </c>
      <c r="F19" s="2">
        <f t="shared" si="0"/>
        <v>5.9899999999999984</v>
      </c>
      <c r="G19" s="3"/>
      <c r="H19" s="3"/>
      <c r="I19" s="3"/>
    </row>
    <row r="20" spans="2:11" ht="15" customHeight="1" x14ac:dyDescent="0.25">
      <c r="B20" s="1" t="e">
        <f>#REF!</f>
        <v>#REF!</v>
      </c>
      <c r="C20" s="24" t="e">
        <f>#REF!</f>
        <v>#REF!</v>
      </c>
      <c r="D20" s="2">
        <v>21.01</v>
      </c>
      <c r="E20" s="2">
        <v>26.01</v>
      </c>
      <c r="F20" s="2">
        <f t="shared" si="0"/>
        <v>5</v>
      </c>
      <c r="G20" s="3"/>
      <c r="H20" s="3"/>
      <c r="I20" s="3"/>
    </row>
    <row r="21" spans="2:11" ht="15" customHeight="1" x14ac:dyDescent="0.25">
      <c r="B21" s="1" t="e">
        <f>#REF!</f>
        <v>#REF!</v>
      </c>
      <c r="C21" s="24" t="e">
        <f>#REF!</f>
        <v>#REF!</v>
      </c>
      <c r="D21" s="2">
        <v>19.579999999999998</v>
      </c>
      <c r="E21" s="2">
        <v>26</v>
      </c>
      <c r="F21" s="2">
        <f t="shared" si="0"/>
        <v>6.4200000000000017</v>
      </c>
      <c r="G21" s="3"/>
      <c r="H21" s="3"/>
      <c r="I21" s="3"/>
    </row>
    <row r="22" spans="2:11" ht="15" customHeight="1" x14ac:dyDescent="0.25">
      <c r="B22" s="1" t="e">
        <f>#REF!</f>
        <v>#REF!</v>
      </c>
      <c r="C22" s="24" t="e">
        <f>#REF!</f>
        <v>#REF!</v>
      </c>
      <c r="D22" s="2">
        <v>13.02</v>
      </c>
      <c r="E22" s="2">
        <v>18.59</v>
      </c>
      <c r="F22" s="2">
        <f t="shared" si="0"/>
        <v>5.57</v>
      </c>
      <c r="G22" s="3"/>
      <c r="H22" s="3"/>
      <c r="I22" s="3"/>
    </row>
    <row r="23" spans="2:11" ht="15" customHeight="1" x14ac:dyDescent="0.25">
      <c r="B23" s="1" t="e">
        <f>#REF!</f>
        <v>#REF!</v>
      </c>
      <c r="C23" s="24" t="e">
        <f>#REF!</f>
        <v>#REF!</v>
      </c>
      <c r="D23" s="2">
        <v>20</v>
      </c>
      <c r="E23" s="2">
        <v>26</v>
      </c>
      <c r="F23" s="2">
        <f t="shared" si="0"/>
        <v>6</v>
      </c>
      <c r="G23" s="3"/>
      <c r="H23" s="3"/>
      <c r="I23" s="3"/>
    </row>
    <row r="24" spans="2:11" ht="15" customHeight="1" x14ac:dyDescent="0.25">
      <c r="B24" s="1" t="e">
        <f>#REF!</f>
        <v>#REF!</v>
      </c>
      <c r="C24" s="24" t="e">
        <f>#REF!</f>
        <v>#REF!</v>
      </c>
      <c r="D24" s="2">
        <v>13.02</v>
      </c>
      <c r="E24" s="2">
        <v>18.59</v>
      </c>
      <c r="F24" s="2">
        <f t="shared" si="0"/>
        <v>5.57</v>
      </c>
      <c r="G24" s="3"/>
      <c r="H24" s="3"/>
      <c r="I24" s="3"/>
    </row>
    <row r="25" spans="2:11" ht="15" customHeight="1" x14ac:dyDescent="0.25">
      <c r="B25" s="75" t="e">
        <f>#REF!</f>
        <v>#REF!</v>
      </c>
      <c r="C25" s="76" t="e">
        <f>#REF!</f>
        <v>#REF!</v>
      </c>
      <c r="D25" s="73">
        <v>0</v>
      </c>
      <c r="E25" s="73">
        <v>0</v>
      </c>
      <c r="F25" s="73">
        <f t="shared" si="0"/>
        <v>0</v>
      </c>
      <c r="G25" s="74"/>
      <c r="H25" s="74"/>
      <c r="I25" s="74"/>
    </row>
    <row r="26" spans="2:11" ht="15" customHeight="1" x14ac:dyDescent="0.25">
      <c r="B26" s="1" t="e">
        <f>#REF!</f>
        <v>#REF!</v>
      </c>
      <c r="C26" s="24" t="e">
        <f>#REF!</f>
        <v>#REF!</v>
      </c>
      <c r="D26" s="2">
        <v>20.02</v>
      </c>
      <c r="E26" s="2">
        <v>26</v>
      </c>
      <c r="F26" s="2">
        <f t="shared" si="0"/>
        <v>5.98</v>
      </c>
      <c r="G26" s="3"/>
      <c r="H26" s="3"/>
      <c r="I26" s="3"/>
    </row>
    <row r="27" spans="2:11" ht="15" customHeight="1" x14ac:dyDescent="0.25">
      <c r="B27" s="1" t="e">
        <f>#REF!</f>
        <v>#REF!</v>
      </c>
      <c r="C27" s="24" t="e">
        <f>#REF!</f>
        <v>#REF!</v>
      </c>
      <c r="D27" s="2">
        <v>20.02</v>
      </c>
      <c r="E27" s="2">
        <v>26.02</v>
      </c>
      <c r="F27" s="2">
        <f t="shared" si="0"/>
        <v>6</v>
      </c>
      <c r="G27" s="3"/>
      <c r="H27" s="3"/>
      <c r="I27" s="3"/>
    </row>
    <row r="28" spans="2:11" ht="15" customHeight="1" x14ac:dyDescent="0.25">
      <c r="B28" s="1" t="e">
        <f>#REF!</f>
        <v>#REF!</v>
      </c>
      <c r="C28" s="24" t="e">
        <f>#REF!</f>
        <v>#REF!</v>
      </c>
      <c r="D28" s="2">
        <v>12.59</v>
      </c>
      <c r="E28" s="2">
        <v>19.010000000000002</v>
      </c>
      <c r="F28" s="2">
        <f t="shared" si="0"/>
        <v>6.4200000000000017</v>
      </c>
      <c r="G28" s="3"/>
      <c r="H28" s="3"/>
      <c r="I28" s="3"/>
    </row>
    <row r="29" spans="2:11" ht="15" customHeight="1" x14ac:dyDescent="0.25">
      <c r="B29" s="1" t="e">
        <f>#REF!</f>
        <v>#REF!</v>
      </c>
      <c r="C29" s="24" t="e">
        <f>#REF!</f>
        <v>#REF!</v>
      </c>
      <c r="D29" s="2">
        <v>13</v>
      </c>
      <c r="E29" s="2">
        <v>18.579999999999998</v>
      </c>
      <c r="F29" s="2">
        <f t="shared" si="0"/>
        <v>5.5799999999999983</v>
      </c>
      <c r="G29" s="3"/>
      <c r="H29" s="3"/>
      <c r="I29" s="3"/>
    </row>
    <row r="30" spans="2:11" ht="15" customHeight="1" x14ac:dyDescent="0.25">
      <c r="B30" s="1" t="e">
        <f>#REF!</f>
        <v>#REF!</v>
      </c>
      <c r="C30" s="24" t="e">
        <f>#REF!</f>
        <v>#REF!</v>
      </c>
      <c r="D30" s="2">
        <v>8.01</v>
      </c>
      <c r="E30" s="2">
        <v>14</v>
      </c>
      <c r="F30" s="2">
        <f t="shared" si="0"/>
        <v>5.99</v>
      </c>
      <c r="G30" s="3"/>
      <c r="H30" s="3"/>
      <c r="I30" s="3"/>
      <c r="K30" s="70"/>
    </row>
    <row r="31" spans="2:11" ht="15" customHeight="1" x14ac:dyDescent="0.25">
      <c r="B31" s="1" t="e">
        <f>#REF!</f>
        <v>#REF!</v>
      </c>
      <c r="C31" s="24" t="e">
        <f>#REF!</f>
        <v>#REF!</v>
      </c>
      <c r="D31" s="2">
        <v>20.149999999999999</v>
      </c>
      <c r="E31" s="2">
        <v>26</v>
      </c>
      <c r="F31" s="2">
        <f t="shared" si="0"/>
        <v>5.8500000000000014</v>
      </c>
      <c r="G31" s="3"/>
      <c r="H31" s="3"/>
      <c r="I31" s="3"/>
    </row>
    <row r="32" spans="2:11" ht="15.75" customHeight="1" x14ac:dyDescent="0.25">
      <c r="B32" s="1" t="e">
        <f>#REF!</f>
        <v>#REF!</v>
      </c>
      <c r="C32" s="24" t="e">
        <f>#REF!</f>
        <v>#REF!</v>
      </c>
      <c r="D32" s="2">
        <v>15.33</v>
      </c>
      <c r="E32" s="2">
        <v>20</v>
      </c>
      <c r="F32" s="2">
        <f t="shared" si="0"/>
        <v>4.67</v>
      </c>
      <c r="G32" s="3"/>
      <c r="H32" s="3"/>
      <c r="I32" s="3"/>
    </row>
    <row r="33" spans="2:9" ht="15.75" customHeight="1" x14ac:dyDescent="0.25">
      <c r="B33" s="1" t="e">
        <f>#REF!</f>
        <v>#REF!</v>
      </c>
      <c r="C33" s="24" t="e">
        <f>#REF!</f>
        <v>#REF!</v>
      </c>
      <c r="D33" s="2">
        <v>12.19</v>
      </c>
      <c r="E33" s="2">
        <v>19.03</v>
      </c>
      <c r="F33" s="2">
        <f t="shared" si="0"/>
        <v>6.8400000000000016</v>
      </c>
      <c r="G33" s="3"/>
      <c r="H33" s="3"/>
      <c r="I33" s="3"/>
    </row>
    <row r="34" spans="2:9" ht="15.75" customHeight="1" x14ac:dyDescent="0.25">
      <c r="B34" s="75" t="e">
        <f>#REF!</f>
        <v>#REF!</v>
      </c>
      <c r="C34" s="76" t="e">
        <f>#REF!</f>
        <v>#REF!</v>
      </c>
      <c r="D34" s="73">
        <v>0</v>
      </c>
      <c r="E34" s="73">
        <v>0</v>
      </c>
      <c r="F34" s="73">
        <f t="shared" si="0"/>
        <v>0</v>
      </c>
      <c r="G34" s="74"/>
      <c r="H34" s="74"/>
      <c r="I34" s="74"/>
    </row>
    <row r="35" spans="2:9" ht="15.75" customHeight="1" x14ac:dyDescent="0.25">
      <c r="B35" s="1" t="e">
        <f>#REF!</f>
        <v>#REF!</v>
      </c>
      <c r="C35" s="24" t="e">
        <f>#REF!</f>
        <v>#REF!</v>
      </c>
      <c r="D35" s="2">
        <v>19.59</v>
      </c>
      <c r="E35" s="2">
        <v>26</v>
      </c>
      <c r="F35" s="2">
        <f t="shared" si="0"/>
        <v>6.41</v>
      </c>
      <c r="G35" s="3"/>
      <c r="H35" s="3"/>
      <c r="I35" s="3"/>
    </row>
    <row r="36" spans="2:9" ht="15.75" customHeight="1" x14ac:dyDescent="0.25">
      <c r="B36" s="77" t="e">
        <f>#REF!</f>
        <v>#REF!</v>
      </c>
      <c r="C36" s="78" t="e">
        <f>#REF!</f>
        <v>#REF!</v>
      </c>
      <c r="D36" s="72">
        <v>0</v>
      </c>
      <c r="E36" s="72">
        <v>0</v>
      </c>
      <c r="F36" s="72">
        <f t="shared" si="0"/>
        <v>0</v>
      </c>
      <c r="G36" s="79"/>
      <c r="H36" s="79"/>
      <c r="I36" s="79"/>
    </row>
    <row r="37" spans="2:9" ht="15.75" customHeight="1" x14ac:dyDescent="0.25">
      <c r="B37" s="77" t="e">
        <f>#REF!</f>
        <v>#REF!</v>
      </c>
      <c r="C37" s="78" t="e">
        <f>#REF!</f>
        <v>#REF!</v>
      </c>
      <c r="D37" s="72">
        <v>0</v>
      </c>
      <c r="E37" s="72">
        <v>0</v>
      </c>
      <c r="F37" s="72">
        <f t="shared" si="0"/>
        <v>0</v>
      </c>
      <c r="G37" s="79"/>
      <c r="H37" s="79"/>
      <c r="I37" s="79"/>
    </row>
    <row r="38" spans="2:9" ht="15.75" customHeight="1" x14ac:dyDescent="0.25">
      <c r="B38" s="1"/>
      <c r="C38" s="24"/>
      <c r="D38" s="2"/>
      <c r="E38" s="2"/>
      <c r="F38" s="2"/>
      <c r="G38" s="60"/>
      <c r="H38" s="61"/>
      <c r="I38" s="61"/>
    </row>
    <row r="39" spans="2:9" ht="15" customHeight="1" x14ac:dyDescent="0.25">
      <c r="B39" s="58"/>
      <c r="C39" s="59"/>
      <c r="D39" s="71" t="e">
        <f>#REF!</f>
        <v>#REF!</v>
      </c>
      <c r="E39" s="71"/>
      <c r="F39" s="71">
        <f>SUM(F7:F37)</f>
        <v>148.20999999999998</v>
      </c>
      <c r="G39" s="60"/>
      <c r="H39" s="61"/>
      <c r="I39" s="61"/>
    </row>
    <row r="40" spans="2:9" ht="15" customHeight="1" x14ac:dyDescent="0.25">
      <c r="B40" s="62"/>
      <c r="C40" s="63"/>
      <c r="D40" s="64"/>
      <c r="E40" s="64"/>
      <c r="F40" s="64"/>
      <c r="G40" s="65"/>
      <c r="H40" s="50"/>
      <c r="I40" s="50"/>
    </row>
    <row r="41" spans="2:9" ht="15" customHeight="1" x14ac:dyDescent="0.25">
      <c r="B41" s="62"/>
      <c r="C41" s="260"/>
      <c r="D41" s="260"/>
      <c r="E41" s="260"/>
      <c r="F41" s="66"/>
      <c r="G41" s="67"/>
      <c r="H41" s="67"/>
      <c r="I41" s="67"/>
    </row>
  </sheetData>
  <mergeCells count="3">
    <mergeCell ref="I1:J1"/>
    <mergeCell ref="I2:J2"/>
    <mergeCell ref="C41:E41"/>
  </mergeCells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workbookViewId="0">
      <selection activeCell="F38" sqref="F38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0" customWidth="1"/>
    <col min="5" max="5" width="19.42578125" style="160" customWidth="1"/>
    <col min="6" max="6" width="12.85546875" style="160" customWidth="1"/>
    <col min="7" max="7" width="44.42578125" customWidth="1"/>
    <col min="8" max="8" width="28.28515625" customWidth="1"/>
    <col min="10" max="10" width="8.85546875" customWidth="1"/>
    <col min="12" max="12" width="18.4257812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0" ht="15.75" thickBot="1" x14ac:dyDescent="0.3">
      <c r="B2" s="41" t="s">
        <v>8</v>
      </c>
      <c r="C2" s="156"/>
      <c r="D2" s="157"/>
      <c r="E2" s="42" t="s">
        <v>10</v>
      </c>
      <c r="F2" s="161">
        <v>610</v>
      </c>
      <c r="G2" s="44" t="s">
        <v>11</v>
      </c>
      <c r="H2" s="44" t="s">
        <v>12</v>
      </c>
      <c r="I2" s="262" t="s">
        <v>48</v>
      </c>
      <c r="J2" s="262"/>
    </row>
    <row r="3" spans="1:10" ht="15.75" thickTop="1" x14ac:dyDescent="0.25">
      <c r="C3" s="45"/>
      <c r="D3" s="46"/>
      <c r="E3" s="47"/>
      <c r="F3" s="48"/>
      <c r="G3" s="49"/>
      <c r="H3" s="50"/>
      <c r="I3" s="50"/>
    </row>
    <row r="4" spans="1:10" x14ac:dyDescent="0.25">
      <c r="C4" s="154"/>
      <c r="D4" s="52"/>
      <c r="E4" s="53"/>
      <c r="F4" s="54"/>
      <c r="G4" s="53"/>
      <c r="H4" s="50"/>
      <c r="I4" s="50"/>
    </row>
    <row r="5" spans="1:10" ht="15.75" thickBot="1" x14ac:dyDescent="0.3">
      <c r="C5" s="122"/>
      <c r="D5" s="52"/>
      <c r="E5" s="53"/>
      <c r="F5" s="54"/>
      <c r="G5" s="53"/>
      <c r="H5" s="50"/>
      <c r="I5" s="50"/>
    </row>
    <row r="6" spans="1:10" ht="15" customHeight="1" thickBot="1" x14ac:dyDescent="0.3">
      <c r="B6" s="184" t="s">
        <v>13</v>
      </c>
      <c r="C6" s="185" t="s">
        <v>14</v>
      </c>
      <c r="D6" s="186" t="s">
        <v>15</v>
      </c>
      <c r="E6" s="186" t="s">
        <v>16</v>
      </c>
      <c r="F6" s="187" t="s">
        <v>17</v>
      </c>
      <c r="G6" s="188">
        <v>0.25</v>
      </c>
      <c r="H6" s="188">
        <v>0.5</v>
      </c>
      <c r="I6" s="189">
        <v>1</v>
      </c>
      <c r="J6" s="68"/>
    </row>
    <row r="7" spans="1:10" ht="15" customHeight="1" x14ac:dyDescent="0.25">
      <c r="A7" s="278"/>
      <c r="B7" s="211" t="s">
        <v>19</v>
      </c>
      <c r="C7" s="212">
        <v>45976</v>
      </c>
      <c r="D7" s="237">
        <v>17</v>
      </c>
      <c r="E7" s="237">
        <f t="shared" ref="E7:E13" si="0">+D7+9</f>
        <v>26</v>
      </c>
      <c r="F7" s="237">
        <v>8</v>
      </c>
      <c r="G7" s="213"/>
      <c r="H7" s="214"/>
      <c r="I7" s="214"/>
      <c r="J7" s="153"/>
    </row>
    <row r="8" spans="1:10" ht="15" customHeight="1" thickBot="1" x14ac:dyDescent="0.3">
      <c r="A8" s="279"/>
      <c r="B8" s="220" t="s">
        <v>20</v>
      </c>
      <c r="C8" s="235">
        <v>45977</v>
      </c>
      <c r="D8" s="239">
        <v>17</v>
      </c>
      <c r="E8" s="239">
        <f t="shared" si="0"/>
        <v>26</v>
      </c>
      <c r="F8" s="239">
        <v>8</v>
      </c>
      <c r="G8" s="223"/>
      <c r="H8" s="220"/>
      <c r="I8" s="223"/>
      <c r="J8" s="153"/>
    </row>
    <row r="9" spans="1:10" ht="15" customHeight="1" x14ac:dyDescent="0.25">
      <c r="A9" s="278"/>
      <c r="B9" s="211" t="s">
        <v>21</v>
      </c>
      <c r="C9" s="212">
        <v>45978</v>
      </c>
      <c r="D9" s="237">
        <v>15</v>
      </c>
      <c r="E9" s="237">
        <f t="shared" si="0"/>
        <v>24</v>
      </c>
      <c r="F9" s="237">
        <v>8</v>
      </c>
      <c r="G9" s="214"/>
      <c r="H9" s="236"/>
      <c r="I9" s="221"/>
    </row>
    <row r="10" spans="1:10" ht="15" customHeight="1" x14ac:dyDescent="0.25">
      <c r="A10" s="280"/>
      <c r="B10" s="215" t="s">
        <v>22</v>
      </c>
      <c r="C10" s="216">
        <v>45979</v>
      </c>
      <c r="D10" s="243">
        <v>15</v>
      </c>
      <c r="E10" s="243">
        <f t="shared" si="0"/>
        <v>24</v>
      </c>
      <c r="F10" s="243">
        <v>8</v>
      </c>
      <c r="G10" s="217"/>
      <c r="H10" s="215"/>
      <c r="I10" s="217"/>
    </row>
    <row r="11" spans="1:10" ht="15" customHeight="1" x14ac:dyDescent="0.25">
      <c r="A11" s="280"/>
      <c r="B11" s="215" t="s">
        <v>23</v>
      </c>
      <c r="C11" s="216">
        <v>45980</v>
      </c>
      <c r="D11" s="243">
        <v>16</v>
      </c>
      <c r="E11" s="243">
        <f t="shared" si="0"/>
        <v>25</v>
      </c>
      <c r="F11" s="243">
        <v>8</v>
      </c>
      <c r="G11" s="233"/>
      <c r="H11" s="233"/>
      <c r="I11" s="233"/>
    </row>
    <row r="12" spans="1:10" ht="15" customHeight="1" x14ac:dyDescent="0.25">
      <c r="A12" s="280"/>
      <c r="B12" s="215" t="s">
        <v>54</v>
      </c>
      <c r="C12" s="216">
        <v>45981</v>
      </c>
      <c r="D12" s="242">
        <v>16</v>
      </c>
      <c r="E12" s="242">
        <f t="shared" si="0"/>
        <v>25</v>
      </c>
      <c r="F12" s="242">
        <v>8</v>
      </c>
      <c r="G12" s="217"/>
      <c r="H12" s="215"/>
      <c r="I12" s="233"/>
    </row>
    <row r="13" spans="1:10" ht="15" customHeight="1" x14ac:dyDescent="0.25">
      <c r="A13" s="280"/>
      <c r="B13" s="215" t="s">
        <v>18</v>
      </c>
      <c r="C13" s="216">
        <v>45982</v>
      </c>
      <c r="D13" s="242">
        <v>16</v>
      </c>
      <c r="E13" s="242">
        <f t="shared" si="0"/>
        <v>25</v>
      </c>
      <c r="F13" s="242">
        <v>8</v>
      </c>
      <c r="G13" s="217"/>
      <c r="H13" s="217"/>
      <c r="I13" s="217"/>
    </row>
    <row r="14" spans="1:10" ht="15" customHeight="1" x14ac:dyDescent="0.25">
      <c r="A14" s="280"/>
      <c r="B14" s="172" t="s">
        <v>19</v>
      </c>
      <c r="C14" s="192">
        <v>45983</v>
      </c>
      <c r="D14" s="173"/>
      <c r="E14" s="173"/>
      <c r="F14" s="173"/>
      <c r="G14" s="174"/>
      <c r="H14" s="174"/>
      <c r="I14" s="174"/>
    </row>
    <row r="15" spans="1:10" ht="15" customHeight="1" thickBot="1" x14ac:dyDescent="0.3">
      <c r="A15" s="279"/>
      <c r="B15" s="179" t="s">
        <v>20</v>
      </c>
      <c r="C15" s="194">
        <v>45984</v>
      </c>
      <c r="D15" s="180"/>
      <c r="E15" s="180"/>
      <c r="F15" s="180"/>
      <c r="G15" s="181"/>
      <c r="H15" s="181"/>
      <c r="I15" s="181"/>
    </row>
    <row r="16" spans="1:10" ht="15" customHeight="1" x14ac:dyDescent="0.25">
      <c r="A16" s="278"/>
      <c r="B16" s="211" t="s">
        <v>21</v>
      </c>
      <c r="C16" s="212">
        <v>45985</v>
      </c>
      <c r="D16" s="221">
        <v>16</v>
      </c>
      <c r="E16" s="221">
        <f>+D16+9</f>
        <v>25</v>
      </c>
      <c r="F16" s="221">
        <v>8</v>
      </c>
      <c r="G16" s="214"/>
      <c r="H16" s="211"/>
      <c r="I16" s="214"/>
    </row>
    <row r="17" spans="1:9" ht="15" customHeight="1" x14ac:dyDescent="0.25">
      <c r="A17" s="280"/>
      <c r="B17" s="215" t="s">
        <v>22</v>
      </c>
      <c r="C17" s="216">
        <v>45986</v>
      </c>
      <c r="D17" s="219">
        <v>16</v>
      </c>
      <c r="E17" s="219">
        <f>+D17+9</f>
        <v>25</v>
      </c>
      <c r="F17" s="219">
        <v>8</v>
      </c>
      <c r="G17" s="217"/>
      <c r="H17" s="217"/>
      <c r="I17" s="217"/>
    </row>
    <row r="18" spans="1:9" ht="15" customHeight="1" x14ac:dyDescent="0.25">
      <c r="A18" s="280"/>
      <c r="B18" s="215" t="s">
        <v>23</v>
      </c>
      <c r="C18" s="216">
        <v>45987</v>
      </c>
      <c r="D18" s="219">
        <v>16</v>
      </c>
      <c r="E18" s="219">
        <f>+D18+9</f>
        <v>25</v>
      </c>
      <c r="F18" s="219">
        <v>8</v>
      </c>
      <c r="G18" s="217"/>
      <c r="H18" s="217"/>
      <c r="I18" s="217"/>
    </row>
    <row r="19" spans="1:9" ht="15" customHeight="1" x14ac:dyDescent="0.25">
      <c r="A19" s="280"/>
      <c r="B19" s="172" t="s">
        <v>54</v>
      </c>
      <c r="C19" s="192">
        <v>45988</v>
      </c>
      <c r="D19" s="173"/>
      <c r="E19" s="173"/>
      <c r="F19" s="173"/>
      <c r="G19" s="201"/>
      <c r="H19" s="174"/>
      <c r="I19" s="199"/>
    </row>
    <row r="20" spans="1:9" ht="15" customHeight="1" x14ac:dyDescent="0.25">
      <c r="A20" s="280"/>
      <c r="B20" s="172" t="s">
        <v>18</v>
      </c>
      <c r="C20" s="192">
        <v>45989</v>
      </c>
      <c r="D20" s="173"/>
      <c r="E20" s="173"/>
      <c r="F20" s="173"/>
      <c r="G20" s="195"/>
      <c r="H20" s="174"/>
      <c r="I20" s="174"/>
    </row>
    <row r="21" spans="1:9" ht="15" customHeight="1" x14ac:dyDescent="0.25">
      <c r="A21" s="280"/>
      <c r="B21" s="215" t="s">
        <v>19</v>
      </c>
      <c r="C21" s="216">
        <v>45990</v>
      </c>
      <c r="D21" s="219">
        <v>7</v>
      </c>
      <c r="E21" s="219">
        <f>+D21+9</f>
        <v>16</v>
      </c>
      <c r="F21" s="219">
        <v>8</v>
      </c>
      <c r="G21" s="225"/>
      <c r="H21" s="217"/>
      <c r="I21" s="217"/>
    </row>
    <row r="22" spans="1:9" ht="15" customHeight="1" thickBot="1" x14ac:dyDescent="0.3">
      <c r="A22" s="279"/>
      <c r="B22" s="220" t="s">
        <v>20</v>
      </c>
      <c r="C22" s="235">
        <v>45991</v>
      </c>
      <c r="D22" s="222">
        <v>8</v>
      </c>
      <c r="E22" s="222">
        <f>+D22+9</f>
        <v>17</v>
      </c>
      <c r="F22" s="222">
        <v>8</v>
      </c>
      <c r="G22" s="223"/>
      <c r="H22" s="220"/>
      <c r="I22" s="223"/>
    </row>
    <row r="23" spans="1:9" ht="15" customHeight="1" x14ac:dyDescent="0.25">
      <c r="A23" s="278"/>
      <c r="B23" s="211" t="s">
        <v>21</v>
      </c>
      <c r="C23" s="212">
        <v>45992</v>
      </c>
      <c r="D23" s="221">
        <v>7</v>
      </c>
      <c r="E23" s="221">
        <f>+D23+9</f>
        <v>16</v>
      </c>
      <c r="F23" s="221">
        <v>8</v>
      </c>
      <c r="G23" s="214"/>
      <c r="H23" s="214"/>
      <c r="I23" s="214"/>
    </row>
    <row r="24" spans="1:9" ht="15" customHeight="1" x14ac:dyDescent="0.25">
      <c r="A24" s="280"/>
      <c r="B24" s="215" t="s">
        <v>22</v>
      </c>
      <c r="C24" s="216">
        <v>45993</v>
      </c>
      <c r="D24" s="219">
        <v>8</v>
      </c>
      <c r="E24" s="219">
        <f>+D24+9</f>
        <v>17</v>
      </c>
      <c r="F24" s="219">
        <v>8</v>
      </c>
      <c r="G24" s="217"/>
      <c r="H24" s="215"/>
      <c r="I24" s="217"/>
    </row>
    <row r="25" spans="1:9" ht="15" customHeight="1" x14ac:dyDescent="0.25">
      <c r="A25" s="280"/>
      <c r="B25" s="172" t="s">
        <v>23</v>
      </c>
      <c r="C25" s="192">
        <v>45994</v>
      </c>
      <c r="D25" s="175"/>
      <c r="E25" s="175"/>
      <c r="F25" s="175"/>
      <c r="G25" s="195"/>
      <c r="H25" s="195"/>
      <c r="I25" s="195"/>
    </row>
    <row r="26" spans="1:9" ht="15" customHeight="1" x14ac:dyDescent="0.25">
      <c r="A26" s="280"/>
      <c r="B26" s="172" t="s">
        <v>54</v>
      </c>
      <c r="C26" s="192">
        <v>45995</v>
      </c>
      <c r="D26" s="175"/>
      <c r="E26" s="175"/>
      <c r="F26" s="175"/>
      <c r="G26" s="201"/>
      <c r="H26" s="195"/>
      <c r="I26" s="174"/>
    </row>
    <row r="27" spans="1:9" ht="15" customHeight="1" x14ac:dyDescent="0.25">
      <c r="A27" s="280"/>
      <c r="B27" s="215" t="s">
        <v>18</v>
      </c>
      <c r="C27" s="216">
        <v>45996</v>
      </c>
      <c r="D27" s="228">
        <v>8</v>
      </c>
      <c r="E27" s="228">
        <f t="shared" ref="E27:E32" si="1">+D27+9</f>
        <v>17</v>
      </c>
      <c r="F27" s="228">
        <v>8</v>
      </c>
      <c r="G27" s="229"/>
      <c r="H27" s="230"/>
      <c r="I27" s="231"/>
    </row>
    <row r="28" spans="1:9" ht="15" customHeight="1" x14ac:dyDescent="0.25">
      <c r="A28" s="280"/>
      <c r="B28" s="215" t="s">
        <v>19</v>
      </c>
      <c r="C28" s="216">
        <v>45997</v>
      </c>
      <c r="D28" s="228">
        <v>8</v>
      </c>
      <c r="E28" s="228">
        <f t="shared" si="1"/>
        <v>17</v>
      </c>
      <c r="F28" s="228">
        <v>8</v>
      </c>
      <c r="G28" s="217"/>
      <c r="H28" s="219"/>
      <c r="I28" s="218"/>
    </row>
    <row r="29" spans="1:9" ht="15" customHeight="1" thickBot="1" x14ac:dyDescent="0.3">
      <c r="A29" s="279"/>
      <c r="B29" s="220" t="s">
        <v>20</v>
      </c>
      <c r="C29" s="235">
        <v>45998</v>
      </c>
      <c r="D29" s="226">
        <v>7</v>
      </c>
      <c r="E29" s="226">
        <f t="shared" si="1"/>
        <v>16</v>
      </c>
      <c r="F29" s="226">
        <v>8</v>
      </c>
      <c r="G29" s="223"/>
      <c r="H29" s="223"/>
      <c r="I29" s="223"/>
    </row>
    <row r="30" spans="1:9" ht="15" customHeight="1" x14ac:dyDescent="0.25">
      <c r="A30" s="278"/>
      <c r="B30" s="211" t="s">
        <v>21</v>
      </c>
      <c r="C30" s="212">
        <v>45999</v>
      </c>
      <c r="D30" s="227">
        <v>17</v>
      </c>
      <c r="E30" s="227">
        <f t="shared" si="1"/>
        <v>26</v>
      </c>
      <c r="F30" s="227">
        <v>8</v>
      </c>
      <c r="G30" s="214"/>
      <c r="H30" s="214"/>
      <c r="I30" s="214"/>
    </row>
    <row r="31" spans="1:9" ht="15" customHeight="1" x14ac:dyDescent="0.25">
      <c r="A31" s="280"/>
      <c r="B31" s="215" t="s">
        <v>22</v>
      </c>
      <c r="C31" s="216">
        <v>46000</v>
      </c>
      <c r="D31" s="228">
        <v>17</v>
      </c>
      <c r="E31" s="228">
        <f t="shared" si="1"/>
        <v>26</v>
      </c>
      <c r="F31" s="228">
        <v>8</v>
      </c>
      <c r="G31" s="232"/>
      <c r="H31" s="217"/>
      <c r="I31" s="217"/>
    </row>
    <row r="32" spans="1:9" ht="15" customHeight="1" x14ac:dyDescent="0.25">
      <c r="A32" s="280"/>
      <c r="B32" s="215" t="s">
        <v>23</v>
      </c>
      <c r="C32" s="216">
        <v>46001</v>
      </c>
      <c r="D32" s="228">
        <v>17</v>
      </c>
      <c r="E32" s="228">
        <f t="shared" si="1"/>
        <v>26</v>
      </c>
      <c r="F32" s="228">
        <v>8</v>
      </c>
      <c r="G32" s="232"/>
      <c r="H32" s="217"/>
      <c r="I32" s="217"/>
    </row>
    <row r="33" spans="1:9" ht="15" customHeight="1" x14ac:dyDescent="0.25">
      <c r="A33" s="280"/>
      <c r="B33" s="172" t="s">
        <v>54</v>
      </c>
      <c r="C33" s="192">
        <v>46002</v>
      </c>
      <c r="D33" s="175"/>
      <c r="E33" s="175"/>
      <c r="F33" s="175"/>
      <c r="G33" s="174"/>
      <c r="H33" s="174"/>
      <c r="I33" s="174"/>
    </row>
    <row r="34" spans="1:9" ht="15" customHeight="1" x14ac:dyDescent="0.25">
      <c r="A34" s="280"/>
      <c r="B34" s="172" t="s">
        <v>18</v>
      </c>
      <c r="C34" s="192">
        <v>46003</v>
      </c>
      <c r="D34" s="173"/>
      <c r="E34" s="173"/>
      <c r="F34" s="173"/>
      <c r="G34" s="174"/>
      <c r="H34" s="174"/>
      <c r="I34" s="174"/>
    </row>
    <row r="35" spans="1:9" ht="15" customHeight="1" x14ac:dyDescent="0.25">
      <c r="A35" s="280"/>
      <c r="B35" s="215" t="s">
        <v>19</v>
      </c>
      <c r="C35" s="216">
        <v>46004</v>
      </c>
      <c r="D35" s="243">
        <v>7</v>
      </c>
      <c r="E35" s="243">
        <f>+D35+9</f>
        <v>16</v>
      </c>
      <c r="F35" s="243">
        <v>8</v>
      </c>
      <c r="G35" s="217"/>
      <c r="H35" s="217"/>
      <c r="I35" s="217"/>
    </row>
    <row r="36" spans="1:9" ht="15" customHeight="1" thickBot="1" x14ac:dyDescent="0.3">
      <c r="A36" s="279"/>
      <c r="B36" s="220" t="s">
        <v>20</v>
      </c>
      <c r="C36" s="235">
        <v>46005</v>
      </c>
      <c r="D36" s="239">
        <v>8</v>
      </c>
      <c r="E36" s="239">
        <f>+D36+9</f>
        <v>17</v>
      </c>
      <c r="F36" s="239">
        <v>8</v>
      </c>
      <c r="G36" s="223"/>
      <c r="H36" s="223"/>
      <c r="I36" s="223"/>
    </row>
    <row r="37" spans="1:9" ht="15" customHeight="1" thickBot="1" x14ac:dyDescent="0.3">
      <c r="B37" s="203"/>
      <c r="C37" s="275" t="s">
        <v>56</v>
      </c>
      <c r="D37" s="276"/>
      <c r="E37" s="277"/>
      <c r="F37" s="204">
        <f>SUM(F7:F36)</f>
        <v>176</v>
      </c>
      <c r="G37" s="205"/>
      <c r="H37" s="205">
        <f>SUM(H7:H36)</f>
        <v>0</v>
      </c>
      <c r="I37" s="206">
        <f>SUM(I8:I36)</f>
        <v>0</v>
      </c>
    </row>
  </sheetData>
  <mergeCells count="8">
    <mergeCell ref="A23:A29"/>
    <mergeCell ref="A30:A36"/>
    <mergeCell ref="C37:E37"/>
    <mergeCell ref="I1:J1"/>
    <mergeCell ref="I2:J2"/>
    <mergeCell ref="A7:A8"/>
    <mergeCell ref="A9:A15"/>
    <mergeCell ref="A16:A22"/>
  </mergeCell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7"/>
  <sheetViews>
    <sheetView workbookViewId="0">
      <selection activeCell="F36" sqref="F7:F36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36.7109375" customWidth="1"/>
    <col min="8" max="8" width="11.85546875" customWidth="1"/>
    <col min="10" max="10" width="1.85546875" customWidth="1"/>
  </cols>
  <sheetData>
    <row r="1" spans="1:18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8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2" t="s">
        <v>45</v>
      </c>
      <c r="J2" s="262"/>
    </row>
    <row r="3" spans="1:18" ht="15.75" thickTop="1" x14ac:dyDescent="0.25">
      <c r="C3" s="45"/>
      <c r="D3" s="164"/>
      <c r="E3" s="165"/>
      <c r="F3" s="48"/>
      <c r="G3" s="49"/>
      <c r="H3" s="50"/>
      <c r="I3" s="50"/>
    </row>
    <row r="4" spans="1:18" x14ac:dyDescent="0.25">
      <c r="C4" s="154"/>
      <c r="D4" s="166"/>
      <c r="E4" s="167"/>
      <c r="F4" s="54"/>
      <c r="G4" s="53"/>
      <c r="H4" s="50"/>
      <c r="I4" s="50"/>
    </row>
    <row r="5" spans="1:18" ht="15.75" thickBot="1" x14ac:dyDescent="0.3">
      <c r="C5" s="122"/>
      <c r="D5" s="166"/>
      <c r="E5" s="167"/>
      <c r="F5" s="54"/>
      <c r="G5" s="53"/>
      <c r="H5" s="50"/>
      <c r="I5" s="50"/>
    </row>
    <row r="6" spans="1:18" ht="15" customHeight="1" thickBot="1" x14ac:dyDescent="0.3">
      <c r="B6" s="184" t="s">
        <v>13</v>
      </c>
      <c r="C6" s="185" t="s">
        <v>14</v>
      </c>
      <c r="D6" s="186" t="s">
        <v>15</v>
      </c>
      <c r="E6" s="186" t="s">
        <v>16</v>
      </c>
      <c r="F6" s="187" t="s">
        <v>17</v>
      </c>
      <c r="G6" s="188">
        <v>0.25</v>
      </c>
      <c r="H6" s="188">
        <v>0.5</v>
      </c>
      <c r="I6" s="189">
        <v>1</v>
      </c>
      <c r="J6" s="68"/>
    </row>
    <row r="7" spans="1:18" ht="15" customHeight="1" x14ac:dyDescent="0.25">
      <c r="A7" s="278"/>
      <c r="B7" s="211" t="s">
        <v>19</v>
      </c>
      <c r="C7" s="212">
        <v>45976</v>
      </c>
      <c r="D7" s="237">
        <v>8</v>
      </c>
      <c r="E7" s="237">
        <f>+D7+9</f>
        <v>17</v>
      </c>
      <c r="F7" s="237">
        <v>8</v>
      </c>
      <c r="G7" s="213"/>
      <c r="H7" s="214"/>
      <c r="I7" s="214"/>
      <c r="J7" s="153"/>
    </row>
    <row r="8" spans="1:18" ht="15" customHeight="1" thickBot="1" x14ac:dyDescent="0.3">
      <c r="A8" s="279"/>
      <c r="B8" s="220" t="s">
        <v>20</v>
      </c>
      <c r="C8" s="235">
        <v>45977</v>
      </c>
      <c r="D8" s="239">
        <v>7</v>
      </c>
      <c r="E8" s="239">
        <f>+D8+9</f>
        <v>16</v>
      </c>
      <c r="F8" s="239">
        <v>8</v>
      </c>
      <c r="G8" s="223"/>
      <c r="H8" s="220"/>
      <c r="I8" s="223"/>
      <c r="J8" s="153"/>
    </row>
    <row r="9" spans="1:18" ht="15" customHeight="1" x14ac:dyDescent="0.25">
      <c r="A9" s="278"/>
      <c r="B9" s="176" t="s">
        <v>21</v>
      </c>
      <c r="C9" s="193">
        <v>45978</v>
      </c>
      <c r="D9" s="244"/>
      <c r="E9" s="244"/>
      <c r="F9" s="244"/>
      <c r="G9" s="178"/>
      <c r="H9" s="245"/>
      <c r="I9" s="177"/>
    </row>
    <row r="10" spans="1:18" ht="15" customHeight="1" x14ac:dyDescent="0.25">
      <c r="A10" s="280"/>
      <c r="B10" s="172" t="s">
        <v>22</v>
      </c>
      <c r="C10" s="192">
        <v>45979</v>
      </c>
      <c r="D10" s="209"/>
      <c r="E10" s="209"/>
      <c r="F10" s="209"/>
      <c r="G10" s="174"/>
      <c r="H10" s="172"/>
      <c r="I10" s="174"/>
      <c r="Q10">
        <v>530</v>
      </c>
    </row>
    <row r="11" spans="1:18" ht="15" customHeight="1" x14ac:dyDescent="0.25">
      <c r="A11" s="280"/>
      <c r="B11" s="215" t="s">
        <v>23</v>
      </c>
      <c r="C11" s="216">
        <v>45980</v>
      </c>
      <c r="D11" s="243">
        <v>17</v>
      </c>
      <c r="E11" s="243">
        <f>+D11+9</f>
        <v>26</v>
      </c>
      <c r="F11" s="243">
        <v>8</v>
      </c>
      <c r="G11" s="233"/>
      <c r="H11" s="233"/>
      <c r="I11" s="233"/>
      <c r="Q11">
        <v>425</v>
      </c>
      <c r="R11" t="s">
        <v>49</v>
      </c>
    </row>
    <row r="12" spans="1:18" ht="15" customHeight="1" x14ac:dyDescent="0.25">
      <c r="A12" s="280"/>
      <c r="B12" s="215" t="s">
        <v>54</v>
      </c>
      <c r="C12" s="216">
        <v>45981</v>
      </c>
      <c r="D12" s="219">
        <v>17</v>
      </c>
      <c r="E12" s="219">
        <f>+D12+9</f>
        <v>26</v>
      </c>
      <c r="F12" s="219">
        <v>8</v>
      </c>
      <c r="G12" s="217"/>
      <c r="H12" s="215"/>
      <c r="I12" s="233"/>
      <c r="Q12">
        <v>100</v>
      </c>
      <c r="R12" t="s">
        <v>50</v>
      </c>
    </row>
    <row r="13" spans="1:18" ht="15" customHeight="1" x14ac:dyDescent="0.25">
      <c r="A13" s="280"/>
      <c r="B13" s="215" t="s">
        <v>18</v>
      </c>
      <c r="C13" s="216">
        <v>45982</v>
      </c>
      <c r="D13" s="219">
        <v>17</v>
      </c>
      <c r="E13" s="219">
        <f>+D13+9</f>
        <v>26</v>
      </c>
      <c r="F13" s="219">
        <v>8</v>
      </c>
      <c r="G13" s="217"/>
      <c r="H13" s="217"/>
      <c r="I13" s="217"/>
      <c r="Q13">
        <f>SUM(Q11:Q12)</f>
        <v>525</v>
      </c>
      <c r="R13" t="s">
        <v>51</v>
      </c>
    </row>
    <row r="14" spans="1:18" ht="15" customHeight="1" x14ac:dyDescent="0.25">
      <c r="A14" s="280"/>
      <c r="B14" s="215" t="s">
        <v>19</v>
      </c>
      <c r="C14" s="216">
        <v>45983</v>
      </c>
      <c r="D14" s="219">
        <v>17</v>
      </c>
      <c r="E14" s="219">
        <v>17</v>
      </c>
      <c r="F14" s="219">
        <v>8</v>
      </c>
      <c r="G14" s="217"/>
      <c r="H14" s="217"/>
      <c r="I14" s="217"/>
      <c r="Q14">
        <f>+Q10-Q13</f>
        <v>5</v>
      </c>
    </row>
    <row r="15" spans="1:18" ht="15" customHeight="1" thickBot="1" x14ac:dyDescent="0.3">
      <c r="A15" s="279"/>
      <c r="B15" s="220" t="s">
        <v>20</v>
      </c>
      <c r="C15" s="235">
        <v>45984</v>
      </c>
      <c r="D15" s="222">
        <v>17</v>
      </c>
      <c r="E15" s="222">
        <v>17</v>
      </c>
      <c r="F15" s="222">
        <v>8</v>
      </c>
      <c r="G15" s="223"/>
      <c r="H15" s="223"/>
      <c r="I15" s="223"/>
    </row>
    <row r="16" spans="1:18" ht="15" customHeight="1" x14ac:dyDescent="0.25">
      <c r="A16" s="278"/>
      <c r="B16" s="211" t="s">
        <v>21</v>
      </c>
      <c r="C16" s="212">
        <v>45985</v>
      </c>
      <c r="D16" s="221">
        <v>15</v>
      </c>
      <c r="E16" s="221">
        <f>+D16+9</f>
        <v>24</v>
      </c>
      <c r="F16" s="221">
        <v>8</v>
      </c>
      <c r="G16" s="214"/>
      <c r="H16" s="211"/>
      <c r="I16" s="214"/>
    </row>
    <row r="17" spans="1:9" ht="15" customHeight="1" x14ac:dyDescent="0.25">
      <c r="A17" s="280"/>
      <c r="B17" s="215" t="s">
        <v>22</v>
      </c>
      <c r="C17" s="216">
        <v>45986</v>
      </c>
      <c r="D17" s="219">
        <v>16</v>
      </c>
      <c r="E17" s="219">
        <f>+D17+9</f>
        <v>25</v>
      </c>
      <c r="F17" s="219">
        <v>8</v>
      </c>
      <c r="G17" s="217"/>
      <c r="H17" s="217"/>
      <c r="I17" s="217"/>
    </row>
    <row r="18" spans="1:9" ht="15" customHeight="1" x14ac:dyDescent="0.25">
      <c r="A18" s="280"/>
      <c r="B18" s="172" t="s">
        <v>23</v>
      </c>
      <c r="C18" s="192">
        <v>45987</v>
      </c>
      <c r="D18" s="173"/>
      <c r="E18" s="173"/>
      <c r="F18" s="173"/>
      <c r="G18" s="174"/>
      <c r="H18" s="174"/>
      <c r="I18" s="174"/>
    </row>
    <row r="19" spans="1:9" ht="15" customHeight="1" x14ac:dyDescent="0.25">
      <c r="A19" s="280"/>
      <c r="B19" s="172" t="s">
        <v>54</v>
      </c>
      <c r="C19" s="192">
        <v>45988</v>
      </c>
      <c r="D19" s="173"/>
      <c r="E19" s="173"/>
      <c r="F19" s="173"/>
      <c r="G19" s="201"/>
      <c r="H19" s="174"/>
      <c r="I19" s="199"/>
    </row>
    <row r="20" spans="1:9" ht="15" customHeight="1" x14ac:dyDescent="0.25">
      <c r="A20" s="280"/>
      <c r="B20" s="215" t="s">
        <v>18</v>
      </c>
      <c r="C20" s="216">
        <v>45989</v>
      </c>
      <c r="D20" s="219">
        <v>10</v>
      </c>
      <c r="E20" s="219">
        <f t="shared" ref="E20:E25" si="0">+D20+9</f>
        <v>19</v>
      </c>
      <c r="F20" s="219">
        <v>8</v>
      </c>
      <c r="G20" s="225"/>
      <c r="H20" s="217"/>
      <c r="I20" s="217"/>
    </row>
    <row r="21" spans="1:9" ht="15" customHeight="1" x14ac:dyDescent="0.25">
      <c r="A21" s="280"/>
      <c r="B21" s="215" t="s">
        <v>19</v>
      </c>
      <c r="C21" s="216">
        <v>45990</v>
      </c>
      <c r="D21" s="219">
        <v>10</v>
      </c>
      <c r="E21" s="219">
        <f t="shared" si="0"/>
        <v>19</v>
      </c>
      <c r="F21" s="219">
        <v>8</v>
      </c>
      <c r="G21" s="225"/>
      <c r="H21" s="217"/>
      <c r="I21" s="217"/>
    </row>
    <row r="22" spans="1:9" ht="15" customHeight="1" thickBot="1" x14ac:dyDescent="0.3">
      <c r="A22" s="279"/>
      <c r="B22" s="220" t="s">
        <v>20</v>
      </c>
      <c r="C22" s="235">
        <v>45991</v>
      </c>
      <c r="D22" s="222">
        <v>10</v>
      </c>
      <c r="E22" s="222">
        <f t="shared" si="0"/>
        <v>19</v>
      </c>
      <c r="F22" s="222">
        <v>8</v>
      </c>
      <c r="G22" s="223"/>
      <c r="H22" s="220"/>
      <c r="I22" s="223"/>
    </row>
    <row r="23" spans="1:9" ht="15" customHeight="1" x14ac:dyDescent="0.25">
      <c r="A23" s="278"/>
      <c r="B23" s="211" t="s">
        <v>21</v>
      </c>
      <c r="C23" s="212">
        <v>45992</v>
      </c>
      <c r="D23" s="221">
        <v>17</v>
      </c>
      <c r="E23" s="221">
        <f t="shared" si="0"/>
        <v>26</v>
      </c>
      <c r="F23" s="221">
        <v>8</v>
      </c>
      <c r="G23" s="214"/>
      <c r="H23" s="214"/>
      <c r="I23" s="214"/>
    </row>
    <row r="24" spans="1:9" ht="15" customHeight="1" x14ac:dyDescent="0.25">
      <c r="A24" s="280"/>
      <c r="B24" s="215" t="s">
        <v>22</v>
      </c>
      <c r="C24" s="216">
        <v>45993</v>
      </c>
      <c r="D24" s="219">
        <v>17</v>
      </c>
      <c r="E24" s="219">
        <f t="shared" si="0"/>
        <v>26</v>
      </c>
      <c r="F24" s="219">
        <v>8</v>
      </c>
      <c r="G24" s="217"/>
      <c r="H24" s="215"/>
      <c r="I24" s="217"/>
    </row>
    <row r="25" spans="1:9" ht="15" customHeight="1" x14ac:dyDescent="0.25">
      <c r="A25" s="280"/>
      <c r="B25" s="215" t="s">
        <v>23</v>
      </c>
      <c r="C25" s="216">
        <v>45994</v>
      </c>
      <c r="D25" s="228">
        <v>17</v>
      </c>
      <c r="E25" s="228">
        <f t="shared" si="0"/>
        <v>26</v>
      </c>
      <c r="F25" s="228">
        <v>8</v>
      </c>
      <c r="G25" s="225"/>
      <c r="H25" s="225"/>
      <c r="I25" s="225"/>
    </row>
    <row r="26" spans="1:9" ht="15" customHeight="1" x14ac:dyDescent="0.25">
      <c r="A26" s="280"/>
      <c r="B26" s="172" t="s">
        <v>54</v>
      </c>
      <c r="C26" s="192">
        <v>45995</v>
      </c>
      <c r="D26" s="175"/>
      <c r="E26" s="175"/>
      <c r="F26" s="175"/>
      <c r="G26" s="201"/>
      <c r="H26" s="195"/>
      <c r="I26" s="174"/>
    </row>
    <row r="27" spans="1:9" ht="15" customHeight="1" x14ac:dyDescent="0.25">
      <c r="A27" s="280"/>
      <c r="B27" s="172" t="s">
        <v>18</v>
      </c>
      <c r="C27" s="192">
        <v>45996</v>
      </c>
      <c r="D27" s="175"/>
      <c r="E27" s="175"/>
      <c r="F27" s="175"/>
      <c r="G27" s="201"/>
      <c r="H27" s="210"/>
      <c r="I27" s="199"/>
    </row>
    <row r="28" spans="1:9" ht="15" customHeight="1" x14ac:dyDescent="0.25">
      <c r="A28" s="280"/>
      <c r="B28" s="215" t="s">
        <v>19</v>
      </c>
      <c r="C28" s="216">
        <v>45997</v>
      </c>
      <c r="D28" s="228">
        <v>8</v>
      </c>
      <c r="E28" s="228">
        <v>17</v>
      </c>
      <c r="F28" s="228">
        <v>8</v>
      </c>
      <c r="G28" s="217"/>
      <c r="H28" s="219"/>
      <c r="I28" s="218"/>
    </row>
    <row r="29" spans="1:9" ht="15" customHeight="1" thickBot="1" x14ac:dyDescent="0.3">
      <c r="A29" s="279"/>
      <c r="B29" s="220" t="s">
        <v>20</v>
      </c>
      <c r="C29" s="235">
        <v>45998</v>
      </c>
      <c r="D29" s="226">
        <v>8</v>
      </c>
      <c r="E29" s="226">
        <v>17</v>
      </c>
      <c r="F29" s="226">
        <v>8</v>
      </c>
      <c r="G29" s="223"/>
      <c r="H29" s="223"/>
      <c r="I29" s="223"/>
    </row>
    <row r="30" spans="1:9" ht="15" customHeight="1" x14ac:dyDescent="0.25">
      <c r="A30" s="278"/>
      <c r="B30" s="211" t="s">
        <v>21</v>
      </c>
      <c r="C30" s="212">
        <v>45999</v>
      </c>
      <c r="D30" s="227">
        <v>7</v>
      </c>
      <c r="E30" s="227">
        <v>17</v>
      </c>
      <c r="F30" s="227">
        <v>8</v>
      </c>
      <c r="G30" s="214"/>
      <c r="H30" s="214"/>
      <c r="I30" s="214"/>
    </row>
    <row r="31" spans="1:9" ht="15" customHeight="1" x14ac:dyDescent="0.25">
      <c r="A31" s="280"/>
      <c r="B31" s="215" t="s">
        <v>22</v>
      </c>
      <c r="C31" s="216">
        <v>46000</v>
      </c>
      <c r="D31" s="228">
        <v>8</v>
      </c>
      <c r="E31" s="228">
        <f>+D31+9</f>
        <v>17</v>
      </c>
      <c r="F31" s="228">
        <v>8</v>
      </c>
      <c r="G31" s="232"/>
      <c r="H31" s="217"/>
      <c r="I31" s="217"/>
    </row>
    <row r="32" spans="1:9" ht="15" customHeight="1" x14ac:dyDescent="0.25">
      <c r="A32" s="280"/>
      <c r="B32" s="215" t="s">
        <v>23</v>
      </c>
      <c r="C32" s="216">
        <v>46001</v>
      </c>
      <c r="D32" s="228">
        <v>16</v>
      </c>
      <c r="E32" s="228">
        <f>+D32+9</f>
        <v>25</v>
      </c>
      <c r="F32" s="228">
        <v>8</v>
      </c>
      <c r="G32" s="232"/>
      <c r="H32" s="217"/>
      <c r="I32" s="217"/>
    </row>
    <row r="33" spans="1:9" ht="15" customHeight="1" x14ac:dyDescent="0.25">
      <c r="A33" s="280"/>
      <c r="B33" s="172" t="s">
        <v>54</v>
      </c>
      <c r="C33" s="192">
        <v>46002</v>
      </c>
      <c r="D33" s="175"/>
      <c r="E33" s="175"/>
      <c r="F33" s="175"/>
      <c r="G33" s="174"/>
      <c r="H33" s="174"/>
      <c r="I33" s="174"/>
    </row>
    <row r="34" spans="1:9" ht="15" customHeight="1" x14ac:dyDescent="0.25">
      <c r="A34" s="280"/>
      <c r="B34" s="172" t="s">
        <v>18</v>
      </c>
      <c r="C34" s="192">
        <v>46003</v>
      </c>
      <c r="D34" s="173"/>
      <c r="E34" s="173"/>
      <c r="F34" s="173"/>
      <c r="G34" s="174"/>
      <c r="H34" s="174"/>
      <c r="I34" s="174"/>
    </row>
    <row r="35" spans="1:9" ht="15" customHeight="1" x14ac:dyDescent="0.25">
      <c r="A35" s="280"/>
      <c r="B35" s="215" t="s">
        <v>19</v>
      </c>
      <c r="C35" s="216">
        <v>46004</v>
      </c>
      <c r="D35" s="243">
        <v>8</v>
      </c>
      <c r="E35" s="243">
        <f>+D35+9</f>
        <v>17</v>
      </c>
      <c r="F35" s="243">
        <v>8</v>
      </c>
      <c r="G35" s="217"/>
      <c r="H35" s="217"/>
      <c r="I35" s="217"/>
    </row>
    <row r="36" spans="1:9" ht="15" customHeight="1" thickBot="1" x14ac:dyDescent="0.3">
      <c r="A36" s="279"/>
      <c r="B36" s="220" t="s">
        <v>20</v>
      </c>
      <c r="C36" s="235">
        <v>46005</v>
      </c>
      <c r="D36" s="239">
        <v>7</v>
      </c>
      <c r="E36" s="239">
        <f>+D36+9</f>
        <v>16</v>
      </c>
      <c r="F36" s="239">
        <v>8</v>
      </c>
      <c r="G36" s="223"/>
      <c r="H36" s="223"/>
      <c r="I36" s="223"/>
    </row>
    <row r="37" spans="1:9" ht="15.75" thickBot="1" x14ac:dyDescent="0.3">
      <c r="B37" s="203"/>
      <c r="C37" s="275" t="s">
        <v>56</v>
      </c>
      <c r="D37" s="276"/>
      <c r="E37" s="277"/>
      <c r="F37" s="204">
        <f>SUM(F7:F36)</f>
        <v>176</v>
      </c>
      <c r="G37" s="205"/>
      <c r="H37" s="205">
        <f>SUM(H7:H36)</f>
        <v>0</v>
      </c>
      <c r="I37" s="206">
        <f>SUM(I8:I36)</f>
        <v>0</v>
      </c>
    </row>
  </sheetData>
  <mergeCells count="8">
    <mergeCell ref="A23:A29"/>
    <mergeCell ref="A30:A36"/>
    <mergeCell ref="C37:E37"/>
    <mergeCell ref="I1:J1"/>
    <mergeCell ref="I2:J2"/>
    <mergeCell ref="A7:A8"/>
    <mergeCell ref="A9:A15"/>
    <mergeCell ref="A16:A22"/>
  </mergeCell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7"/>
  <sheetViews>
    <sheetView workbookViewId="0">
      <selection activeCell="I2" sqref="I2:J2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style="168" customWidth="1"/>
    <col min="7" max="7" width="24.85546875" customWidth="1"/>
    <col min="8" max="8" width="9.1406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46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0" ht="15.75" thickBot="1" x14ac:dyDescent="0.3">
      <c r="B2" s="41" t="s">
        <v>8</v>
      </c>
      <c r="C2" s="156"/>
      <c r="D2" s="162"/>
      <c r="E2" s="163" t="s">
        <v>10</v>
      </c>
      <c r="F2" s="169">
        <v>710</v>
      </c>
      <c r="G2" s="44" t="s">
        <v>11</v>
      </c>
      <c r="H2" s="44" t="s">
        <v>12</v>
      </c>
      <c r="I2" s="262" t="s">
        <v>60</v>
      </c>
      <c r="J2" s="262"/>
    </row>
    <row r="3" spans="1:10" ht="15.75" thickTop="1" x14ac:dyDescent="0.25">
      <c r="C3" s="45"/>
      <c r="D3" s="164"/>
      <c r="E3" s="165"/>
      <c r="F3" s="170"/>
      <c r="G3" s="49"/>
      <c r="H3" s="50"/>
      <c r="I3" s="50"/>
    </row>
    <row r="4" spans="1:10" x14ac:dyDescent="0.25">
      <c r="C4" s="154"/>
      <c r="D4" s="166"/>
      <c r="E4" s="167"/>
      <c r="F4" s="171"/>
      <c r="G4" s="53"/>
      <c r="H4" s="50"/>
      <c r="I4" s="50"/>
    </row>
    <row r="5" spans="1:10" ht="15.75" thickBot="1" x14ac:dyDescent="0.3">
      <c r="C5" s="122"/>
      <c r="D5" s="166"/>
      <c r="E5" s="167"/>
      <c r="F5" s="171"/>
      <c r="G5" s="53"/>
      <c r="H5" s="50"/>
      <c r="I5" s="50"/>
    </row>
    <row r="6" spans="1:10" ht="15.75" thickBot="1" x14ac:dyDescent="0.3">
      <c r="B6" s="184" t="s">
        <v>13</v>
      </c>
      <c r="C6" s="185" t="s">
        <v>14</v>
      </c>
      <c r="D6" s="186" t="s">
        <v>15</v>
      </c>
      <c r="E6" s="186" t="s">
        <v>16</v>
      </c>
      <c r="F6" s="187" t="s">
        <v>17</v>
      </c>
      <c r="G6" s="188">
        <v>0.25</v>
      </c>
      <c r="H6" s="188">
        <v>0.5</v>
      </c>
      <c r="I6" s="189">
        <v>1</v>
      </c>
      <c r="J6" s="68"/>
    </row>
    <row r="7" spans="1:10" ht="15" customHeight="1" x14ac:dyDescent="0.25">
      <c r="A7" s="278"/>
      <c r="B7" s="176" t="s">
        <v>19</v>
      </c>
      <c r="C7" s="193">
        <v>45976</v>
      </c>
      <c r="D7" s="173"/>
      <c r="E7" s="173"/>
      <c r="F7" s="173"/>
      <c r="G7" s="200"/>
      <c r="H7" s="178"/>
      <c r="I7" s="178"/>
      <c r="J7" s="153"/>
    </row>
    <row r="8" spans="1:10" ht="15" customHeight="1" thickBot="1" x14ac:dyDescent="0.3">
      <c r="A8" s="279"/>
      <c r="B8" s="179" t="s">
        <v>20</v>
      </c>
      <c r="C8" s="194">
        <v>45977</v>
      </c>
      <c r="D8" s="173"/>
      <c r="E8" s="173"/>
      <c r="F8" s="173"/>
      <c r="G8" s="181"/>
      <c r="H8" s="179"/>
      <c r="I8" s="181"/>
      <c r="J8" s="153"/>
    </row>
    <row r="9" spans="1:10" ht="15" customHeight="1" x14ac:dyDescent="0.25">
      <c r="A9" s="278"/>
      <c r="B9" s="211" t="s">
        <v>21</v>
      </c>
      <c r="C9" s="212">
        <v>45978</v>
      </c>
      <c r="D9" s="219">
        <v>16</v>
      </c>
      <c r="E9" s="219">
        <f>+D9+9</f>
        <v>25</v>
      </c>
      <c r="F9" s="219">
        <v>8</v>
      </c>
      <c r="G9" s="214"/>
      <c r="H9" s="236"/>
      <c r="I9" s="221"/>
    </row>
    <row r="10" spans="1:10" ht="15" customHeight="1" x14ac:dyDescent="0.25">
      <c r="A10" s="280"/>
      <c r="B10" s="215" t="s">
        <v>22</v>
      </c>
      <c r="C10" s="216">
        <v>45979</v>
      </c>
      <c r="D10" s="219">
        <v>16</v>
      </c>
      <c r="E10" s="219">
        <f>+D10+9</f>
        <v>25</v>
      </c>
      <c r="F10" s="219">
        <v>8</v>
      </c>
      <c r="G10" s="217"/>
      <c r="H10" s="215"/>
      <c r="I10" s="217"/>
    </row>
    <row r="11" spans="1:10" ht="15" customHeight="1" x14ac:dyDescent="0.25">
      <c r="A11" s="280"/>
      <c r="B11" s="172" t="s">
        <v>23</v>
      </c>
      <c r="C11" s="192">
        <v>45980</v>
      </c>
      <c r="D11" s="173"/>
      <c r="E11" s="173"/>
      <c r="F11" s="173"/>
      <c r="G11" s="246"/>
      <c r="H11" s="246"/>
      <c r="I11" s="246"/>
    </row>
    <row r="12" spans="1:10" ht="15" customHeight="1" x14ac:dyDescent="0.25">
      <c r="A12" s="280"/>
      <c r="B12" s="172" t="s">
        <v>54</v>
      </c>
      <c r="C12" s="192">
        <v>45981</v>
      </c>
      <c r="D12" s="173"/>
      <c r="E12" s="173"/>
      <c r="F12" s="173"/>
      <c r="G12" s="174"/>
      <c r="H12" s="172"/>
      <c r="I12" s="246"/>
    </row>
    <row r="13" spans="1:10" ht="15" customHeight="1" x14ac:dyDescent="0.25">
      <c r="A13" s="280"/>
      <c r="B13" s="215" t="s">
        <v>18</v>
      </c>
      <c r="C13" s="216">
        <v>45982</v>
      </c>
      <c r="D13" s="219">
        <v>10</v>
      </c>
      <c r="E13" s="219">
        <f t="shared" ref="E13:E18" si="0">+D13+9</f>
        <v>19</v>
      </c>
      <c r="F13" s="219">
        <v>8</v>
      </c>
      <c r="G13" s="217"/>
      <c r="H13" s="217"/>
      <c r="I13" s="217"/>
    </row>
    <row r="14" spans="1:10" ht="15" customHeight="1" x14ac:dyDescent="0.25">
      <c r="A14" s="280"/>
      <c r="B14" s="215" t="s">
        <v>19</v>
      </c>
      <c r="C14" s="216">
        <v>45983</v>
      </c>
      <c r="D14" s="219">
        <v>10</v>
      </c>
      <c r="E14" s="219">
        <f t="shared" si="0"/>
        <v>19</v>
      </c>
      <c r="F14" s="219">
        <v>8</v>
      </c>
      <c r="G14" s="217"/>
      <c r="H14" s="217"/>
      <c r="I14" s="217"/>
    </row>
    <row r="15" spans="1:10" ht="15.75" customHeight="1" thickBot="1" x14ac:dyDescent="0.3">
      <c r="A15" s="279"/>
      <c r="B15" s="220" t="s">
        <v>20</v>
      </c>
      <c r="C15" s="235">
        <v>45984</v>
      </c>
      <c r="D15" s="222">
        <v>10</v>
      </c>
      <c r="E15" s="222">
        <f t="shared" si="0"/>
        <v>19</v>
      </c>
      <c r="F15" s="222">
        <v>8</v>
      </c>
      <c r="G15" s="223"/>
      <c r="H15" s="223"/>
      <c r="I15" s="223"/>
    </row>
    <row r="16" spans="1:10" ht="15" customHeight="1" x14ac:dyDescent="0.25">
      <c r="A16" s="278"/>
      <c r="B16" s="211" t="s">
        <v>21</v>
      </c>
      <c r="C16" s="212">
        <v>45985</v>
      </c>
      <c r="D16" s="221">
        <v>17</v>
      </c>
      <c r="E16" s="221">
        <f t="shared" si="0"/>
        <v>26</v>
      </c>
      <c r="F16" s="221">
        <v>8</v>
      </c>
      <c r="G16" s="214"/>
      <c r="H16" s="211"/>
      <c r="I16" s="214"/>
    </row>
    <row r="17" spans="1:9" ht="15" customHeight="1" x14ac:dyDescent="0.25">
      <c r="A17" s="280"/>
      <c r="B17" s="215" t="s">
        <v>22</v>
      </c>
      <c r="C17" s="216">
        <v>45986</v>
      </c>
      <c r="D17" s="219">
        <v>17</v>
      </c>
      <c r="E17" s="219">
        <f t="shared" si="0"/>
        <v>26</v>
      </c>
      <c r="F17" s="219">
        <v>8</v>
      </c>
      <c r="G17" s="217"/>
      <c r="H17" s="217"/>
      <c r="I17" s="217"/>
    </row>
    <row r="18" spans="1:9" ht="15" customHeight="1" x14ac:dyDescent="0.25">
      <c r="A18" s="280"/>
      <c r="B18" s="215" t="s">
        <v>23</v>
      </c>
      <c r="C18" s="216">
        <v>45987</v>
      </c>
      <c r="D18" s="219">
        <v>17</v>
      </c>
      <c r="E18" s="219">
        <f t="shared" si="0"/>
        <v>26</v>
      </c>
      <c r="F18" s="219">
        <v>8</v>
      </c>
      <c r="G18" s="217"/>
      <c r="H18" s="217"/>
      <c r="I18" s="217"/>
    </row>
    <row r="19" spans="1:9" ht="15" customHeight="1" x14ac:dyDescent="0.25">
      <c r="A19" s="280"/>
      <c r="B19" s="172"/>
      <c r="C19" s="192"/>
      <c r="D19" s="173"/>
      <c r="E19" s="173"/>
      <c r="F19" s="173"/>
      <c r="G19" s="201"/>
      <c r="H19" s="174"/>
      <c r="I19" s="199"/>
    </row>
    <row r="20" spans="1:9" ht="15" customHeight="1" x14ac:dyDescent="0.25">
      <c r="A20" s="280"/>
      <c r="B20" s="172"/>
      <c r="C20" s="192"/>
      <c r="D20" s="173"/>
      <c r="E20" s="173"/>
      <c r="F20" s="173"/>
      <c r="G20" s="195"/>
      <c r="H20" s="174"/>
      <c r="I20" s="174"/>
    </row>
    <row r="21" spans="1:9" ht="15" customHeight="1" x14ac:dyDescent="0.25">
      <c r="A21" s="280"/>
      <c r="B21" s="215" t="s">
        <v>19</v>
      </c>
      <c r="C21" s="216">
        <v>45990</v>
      </c>
      <c r="D21" s="219">
        <v>17</v>
      </c>
      <c r="E21" s="219">
        <f t="shared" ref="E21:E27" si="1">+D21+9</f>
        <v>26</v>
      </c>
      <c r="F21" s="219">
        <v>8</v>
      </c>
      <c r="G21" s="225"/>
      <c r="H21" s="217"/>
      <c r="I21" s="217"/>
    </row>
    <row r="22" spans="1:9" ht="15" customHeight="1" thickBot="1" x14ac:dyDescent="0.3">
      <c r="A22" s="279"/>
      <c r="B22" s="220" t="s">
        <v>20</v>
      </c>
      <c r="C22" s="235">
        <v>45991</v>
      </c>
      <c r="D22" s="222">
        <v>17</v>
      </c>
      <c r="E22" s="222">
        <f t="shared" si="1"/>
        <v>26</v>
      </c>
      <c r="F22" s="222">
        <v>8</v>
      </c>
      <c r="G22" s="223"/>
      <c r="H22" s="220"/>
      <c r="I22" s="223"/>
    </row>
    <row r="23" spans="1:9" ht="15" customHeight="1" x14ac:dyDescent="0.25">
      <c r="A23" s="278"/>
      <c r="B23" s="211" t="s">
        <v>21</v>
      </c>
      <c r="C23" s="212">
        <v>45992</v>
      </c>
      <c r="D23" s="221">
        <v>16</v>
      </c>
      <c r="E23" s="221">
        <f t="shared" si="1"/>
        <v>25</v>
      </c>
      <c r="F23" s="221">
        <v>8</v>
      </c>
      <c r="G23" s="214"/>
      <c r="H23" s="214"/>
      <c r="I23" s="214"/>
    </row>
    <row r="24" spans="1:9" ht="15" customHeight="1" x14ac:dyDescent="0.25">
      <c r="A24" s="280"/>
      <c r="B24" s="215" t="s">
        <v>22</v>
      </c>
      <c r="C24" s="216">
        <v>45993</v>
      </c>
      <c r="D24" s="219">
        <v>16</v>
      </c>
      <c r="E24" s="219">
        <f t="shared" si="1"/>
        <v>25</v>
      </c>
      <c r="F24" s="219">
        <v>8</v>
      </c>
      <c r="G24" s="217"/>
      <c r="H24" s="215"/>
      <c r="I24" s="217"/>
    </row>
    <row r="25" spans="1:9" ht="15" customHeight="1" x14ac:dyDescent="0.25">
      <c r="A25" s="280"/>
      <c r="B25" s="215" t="s">
        <v>23</v>
      </c>
      <c r="C25" s="216">
        <v>45994</v>
      </c>
      <c r="D25" s="228">
        <v>16</v>
      </c>
      <c r="E25" s="228">
        <f t="shared" si="1"/>
        <v>25</v>
      </c>
      <c r="F25" s="228">
        <v>8</v>
      </c>
      <c r="G25" s="225"/>
      <c r="H25" s="225"/>
      <c r="I25" s="225"/>
    </row>
    <row r="26" spans="1:9" ht="15" customHeight="1" x14ac:dyDescent="0.25">
      <c r="A26" s="280"/>
      <c r="B26" s="215" t="s">
        <v>54</v>
      </c>
      <c r="C26" s="216">
        <v>45995</v>
      </c>
      <c r="D26" s="228">
        <v>17</v>
      </c>
      <c r="E26" s="228">
        <f t="shared" si="1"/>
        <v>26</v>
      </c>
      <c r="F26" s="228">
        <v>8</v>
      </c>
      <c r="G26" s="229"/>
      <c r="H26" s="225"/>
      <c r="I26" s="217"/>
    </row>
    <row r="27" spans="1:9" ht="15" customHeight="1" x14ac:dyDescent="0.25">
      <c r="A27" s="280"/>
      <c r="B27" s="215" t="s">
        <v>18</v>
      </c>
      <c r="C27" s="216">
        <v>45996</v>
      </c>
      <c r="D27" s="228">
        <v>17</v>
      </c>
      <c r="E27" s="228">
        <f t="shared" si="1"/>
        <v>26</v>
      </c>
      <c r="F27" s="228">
        <v>8</v>
      </c>
      <c r="G27" s="229"/>
      <c r="H27" s="230"/>
      <c r="I27" s="231"/>
    </row>
    <row r="28" spans="1:9" ht="15.75" customHeight="1" x14ac:dyDescent="0.25">
      <c r="A28" s="280"/>
      <c r="B28" s="172" t="s">
        <v>19</v>
      </c>
      <c r="C28" s="192">
        <v>45997</v>
      </c>
      <c r="D28" s="175"/>
      <c r="E28" s="175"/>
      <c r="F28" s="175"/>
      <c r="G28" s="174"/>
      <c r="H28" s="173"/>
      <c r="I28" s="196"/>
    </row>
    <row r="29" spans="1:9" ht="15.75" thickBot="1" x14ac:dyDescent="0.3">
      <c r="A29" s="279"/>
      <c r="B29" s="179" t="s">
        <v>20</v>
      </c>
      <c r="C29" s="194">
        <v>45998</v>
      </c>
      <c r="D29" s="197"/>
      <c r="E29" s="197"/>
      <c r="F29" s="197"/>
      <c r="G29" s="181"/>
      <c r="H29" s="181"/>
      <c r="I29" s="181"/>
    </row>
    <row r="30" spans="1:9" x14ac:dyDescent="0.25">
      <c r="A30" s="278"/>
      <c r="B30" s="176" t="s">
        <v>21</v>
      </c>
      <c r="C30" s="193">
        <v>45999</v>
      </c>
      <c r="D30" s="198"/>
      <c r="E30" s="198"/>
      <c r="F30" s="198"/>
      <c r="G30" s="178"/>
      <c r="H30" s="178"/>
      <c r="I30" s="178"/>
    </row>
    <row r="31" spans="1:9" x14ac:dyDescent="0.25">
      <c r="A31" s="280"/>
      <c r="B31" s="172" t="s">
        <v>22</v>
      </c>
      <c r="C31" s="192">
        <v>46000</v>
      </c>
      <c r="D31" s="175"/>
      <c r="E31" s="175"/>
      <c r="F31" s="175"/>
      <c r="G31" s="207"/>
      <c r="H31" s="174"/>
      <c r="I31" s="174"/>
    </row>
    <row r="32" spans="1:9" x14ac:dyDescent="0.25">
      <c r="A32" s="280"/>
      <c r="B32" s="215" t="s">
        <v>23</v>
      </c>
      <c r="C32" s="216">
        <v>46001</v>
      </c>
      <c r="D32" s="228">
        <v>7</v>
      </c>
      <c r="E32" s="228">
        <f>+D32+9</f>
        <v>16</v>
      </c>
      <c r="F32" s="228">
        <v>8</v>
      </c>
      <c r="G32" s="232"/>
      <c r="H32" s="217"/>
      <c r="I32" s="217"/>
    </row>
    <row r="33" spans="1:9" x14ac:dyDescent="0.25">
      <c r="A33" s="280"/>
      <c r="B33" s="247" t="s">
        <v>54</v>
      </c>
      <c r="C33" s="248">
        <v>46002</v>
      </c>
      <c r="D33" s="243">
        <v>16</v>
      </c>
      <c r="E33" s="243">
        <f>+D33+9</f>
        <v>25</v>
      </c>
      <c r="F33" s="243">
        <v>8</v>
      </c>
      <c r="G33" s="217"/>
      <c r="H33" s="217"/>
      <c r="I33" s="217"/>
    </row>
    <row r="34" spans="1:9" x14ac:dyDescent="0.25">
      <c r="A34" s="280"/>
      <c r="B34" s="247" t="s">
        <v>18</v>
      </c>
      <c r="C34" s="248">
        <v>46003</v>
      </c>
      <c r="D34" s="242">
        <v>16</v>
      </c>
      <c r="E34" s="242">
        <f>+D34+9</f>
        <v>25</v>
      </c>
      <c r="F34" s="242">
        <v>8</v>
      </c>
      <c r="G34" s="217"/>
      <c r="H34" s="217"/>
      <c r="I34" s="217"/>
    </row>
    <row r="35" spans="1:9" x14ac:dyDescent="0.25">
      <c r="A35" s="280"/>
      <c r="B35" s="247" t="s">
        <v>19</v>
      </c>
      <c r="C35" s="248">
        <v>46004</v>
      </c>
      <c r="D35" s="243">
        <v>16</v>
      </c>
      <c r="E35" s="243">
        <f>+D35+9</f>
        <v>25</v>
      </c>
      <c r="F35" s="243">
        <v>8</v>
      </c>
      <c r="G35" s="217"/>
      <c r="H35" s="217"/>
      <c r="I35" s="217"/>
    </row>
    <row r="36" spans="1:9" ht="15.75" thickBot="1" x14ac:dyDescent="0.3">
      <c r="A36" s="279"/>
      <c r="B36" s="249" t="s">
        <v>20</v>
      </c>
      <c r="C36" s="250">
        <v>46005</v>
      </c>
      <c r="D36" s="239">
        <v>16</v>
      </c>
      <c r="E36" s="239">
        <f>+D36+9</f>
        <v>25</v>
      </c>
      <c r="F36" s="239">
        <v>8</v>
      </c>
      <c r="G36" s="223"/>
      <c r="H36" s="223"/>
      <c r="I36" s="223"/>
    </row>
    <row r="37" spans="1:9" ht="15.75" thickBot="1" x14ac:dyDescent="0.3">
      <c r="B37" s="203"/>
      <c r="C37" s="275" t="s">
        <v>56</v>
      </c>
      <c r="D37" s="276"/>
      <c r="E37" s="277"/>
      <c r="F37" s="204">
        <f>SUM(F7:F36)</f>
        <v>160</v>
      </c>
      <c r="G37" s="205"/>
      <c r="H37" s="205">
        <f>SUM(H7:H36)</f>
        <v>0</v>
      </c>
      <c r="I37" s="206">
        <f>SUM(I8:I36)</f>
        <v>0</v>
      </c>
    </row>
  </sheetData>
  <mergeCells count="8">
    <mergeCell ref="A23:A29"/>
    <mergeCell ref="A30:A36"/>
    <mergeCell ref="C37:E37"/>
    <mergeCell ref="I1:J1"/>
    <mergeCell ref="I2:J2"/>
    <mergeCell ref="A7:A8"/>
    <mergeCell ref="A9:A15"/>
    <mergeCell ref="A16:A22"/>
  </mergeCell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7"/>
  <sheetViews>
    <sheetView workbookViewId="0">
      <selection activeCell="F38" sqref="F38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29.85546875" customWidth="1"/>
    <col min="8" max="8" width="35.57031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2" t="s">
        <v>47</v>
      </c>
      <c r="J2" s="262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84" t="s">
        <v>13</v>
      </c>
      <c r="C6" s="185" t="s">
        <v>14</v>
      </c>
      <c r="D6" s="186" t="s">
        <v>15</v>
      </c>
      <c r="E6" s="186" t="s">
        <v>16</v>
      </c>
      <c r="F6" s="187" t="s">
        <v>17</v>
      </c>
      <c r="G6" s="188">
        <v>0.25</v>
      </c>
      <c r="H6" s="188">
        <v>0.5</v>
      </c>
      <c r="I6" s="189">
        <v>1</v>
      </c>
      <c r="J6" s="68"/>
    </row>
    <row r="7" spans="1:10" ht="15" customHeight="1" x14ac:dyDescent="0.25">
      <c r="A7" s="278"/>
      <c r="B7" s="211" t="s">
        <v>19</v>
      </c>
      <c r="C7" s="212">
        <v>45976</v>
      </c>
      <c r="D7" s="221">
        <v>10</v>
      </c>
      <c r="E7" s="221">
        <f>+D7+9</f>
        <v>19</v>
      </c>
      <c r="F7" s="221">
        <v>8</v>
      </c>
      <c r="G7" s="213"/>
      <c r="H7" s="214"/>
      <c r="I7" s="214"/>
      <c r="J7" s="153"/>
    </row>
    <row r="8" spans="1:10" ht="15" customHeight="1" thickBot="1" x14ac:dyDescent="0.3">
      <c r="A8" s="279"/>
      <c r="B8" s="220" t="s">
        <v>20</v>
      </c>
      <c r="C8" s="235">
        <v>45977</v>
      </c>
      <c r="D8" s="240">
        <v>10</v>
      </c>
      <c r="E8" s="240">
        <f>+D8+9</f>
        <v>19</v>
      </c>
      <c r="F8" s="240">
        <v>8</v>
      </c>
      <c r="G8" s="223"/>
      <c r="H8" s="220"/>
      <c r="I8" s="223"/>
      <c r="J8" s="153"/>
    </row>
    <row r="9" spans="1:10" ht="15" customHeight="1" x14ac:dyDescent="0.25">
      <c r="A9" s="278"/>
      <c r="B9" s="211" t="s">
        <v>21</v>
      </c>
      <c r="C9" s="212">
        <v>45978</v>
      </c>
      <c r="D9" s="221">
        <v>8</v>
      </c>
      <c r="E9" s="221">
        <f>+D9+9</f>
        <v>17</v>
      </c>
      <c r="F9" s="221">
        <v>8</v>
      </c>
      <c r="G9" s="214"/>
      <c r="H9" s="236"/>
      <c r="I9" s="221"/>
    </row>
    <row r="10" spans="1:10" ht="15" customHeight="1" x14ac:dyDescent="0.25">
      <c r="A10" s="280"/>
      <c r="B10" s="215" t="s">
        <v>22</v>
      </c>
      <c r="C10" s="216">
        <v>45979</v>
      </c>
      <c r="D10" s="219">
        <v>7</v>
      </c>
      <c r="E10" s="219">
        <f>+D10+9</f>
        <v>16</v>
      </c>
      <c r="F10" s="219">
        <v>8</v>
      </c>
      <c r="G10" s="217"/>
      <c r="H10" s="215"/>
      <c r="I10" s="217"/>
    </row>
    <row r="11" spans="1:10" ht="15" customHeight="1" x14ac:dyDescent="0.25">
      <c r="A11" s="280"/>
      <c r="B11" s="215" t="s">
        <v>23</v>
      </c>
      <c r="C11" s="216">
        <v>45980</v>
      </c>
      <c r="D11" s="219">
        <v>8</v>
      </c>
      <c r="E11" s="219">
        <f>+D11+9</f>
        <v>17</v>
      </c>
      <c r="F11" s="219">
        <v>8</v>
      </c>
      <c r="G11" s="233"/>
      <c r="H11" s="233"/>
      <c r="I11" s="233"/>
    </row>
    <row r="12" spans="1:10" ht="15" customHeight="1" x14ac:dyDescent="0.25">
      <c r="A12" s="280"/>
      <c r="B12" s="172" t="s">
        <v>54</v>
      </c>
      <c r="C12" s="192">
        <v>45981</v>
      </c>
      <c r="D12" s="173"/>
      <c r="E12" s="173"/>
      <c r="F12" s="173"/>
      <c r="G12" s="174"/>
      <c r="H12" s="172"/>
      <c r="I12" s="246"/>
    </row>
    <row r="13" spans="1:10" ht="15" customHeight="1" x14ac:dyDescent="0.25">
      <c r="A13" s="280"/>
      <c r="B13" s="172" t="s">
        <v>18</v>
      </c>
      <c r="C13" s="192">
        <v>45982</v>
      </c>
      <c r="D13" s="173"/>
      <c r="E13" s="173"/>
      <c r="F13" s="173"/>
      <c r="G13" s="174"/>
      <c r="H13" s="174"/>
      <c r="I13" s="174"/>
    </row>
    <row r="14" spans="1:10" ht="15" customHeight="1" x14ac:dyDescent="0.25">
      <c r="A14" s="280"/>
      <c r="B14" s="215" t="s">
        <v>19</v>
      </c>
      <c r="C14" s="216">
        <v>45983</v>
      </c>
      <c r="D14" s="219">
        <v>16</v>
      </c>
      <c r="E14" s="219">
        <f t="shared" ref="E14:E20" si="0">+D14+9</f>
        <v>25</v>
      </c>
      <c r="F14" s="219">
        <v>8</v>
      </c>
      <c r="G14" s="217"/>
      <c r="H14" s="217"/>
      <c r="I14" s="217"/>
    </row>
    <row r="15" spans="1:10" ht="15" customHeight="1" thickBot="1" x14ac:dyDescent="0.3">
      <c r="A15" s="279"/>
      <c r="B15" s="220" t="s">
        <v>20</v>
      </c>
      <c r="C15" s="235">
        <v>45984</v>
      </c>
      <c r="D15" s="222">
        <v>16</v>
      </c>
      <c r="E15" s="222">
        <f t="shared" si="0"/>
        <v>25</v>
      </c>
      <c r="F15" s="222">
        <v>8</v>
      </c>
      <c r="G15" s="223"/>
      <c r="H15" s="223"/>
      <c r="I15" s="223"/>
    </row>
    <row r="16" spans="1:10" ht="15" customHeight="1" x14ac:dyDescent="0.25">
      <c r="A16" s="278"/>
      <c r="B16" s="211" t="s">
        <v>21</v>
      </c>
      <c r="C16" s="212">
        <v>45985</v>
      </c>
      <c r="D16" s="221">
        <v>8</v>
      </c>
      <c r="E16" s="221">
        <f t="shared" si="0"/>
        <v>17</v>
      </c>
      <c r="F16" s="221">
        <v>8</v>
      </c>
      <c r="G16" s="214"/>
      <c r="H16" s="211"/>
      <c r="I16" s="214"/>
    </row>
    <row r="17" spans="1:9" ht="15" customHeight="1" x14ac:dyDescent="0.25">
      <c r="A17" s="280"/>
      <c r="B17" s="215" t="s">
        <v>22</v>
      </c>
      <c r="C17" s="216">
        <v>45986</v>
      </c>
      <c r="D17" s="219">
        <v>8</v>
      </c>
      <c r="E17" s="219">
        <f t="shared" si="0"/>
        <v>17</v>
      </c>
      <c r="F17" s="219">
        <v>8</v>
      </c>
      <c r="G17" s="217"/>
      <c r="H17" s="217"/>
      <c r="I17" s="217"/>
    </row>
    <row r="18" spans="1:9" ht="15" customHeight="1" x14ac:dyDescent="0.25">
      <c r="A18" s="280"/>
      <c r="B18" s="215" t="s">
        <v>23</v>
      </c>
      <c r="C18" s="216">
        <v>45987</v>
      </c>
      <c r="D18" s="219">
        <v>7</v>
      </c>
      <c r="E18" s="219">
        <f t="shared" si="0"/>
        <v>16</v>
      </c>
      <c r="F18" s="219">
        <v>8</v>
      </c>
      <c r="G18" s="217"/>
      <c r="H18" s="217"/>
      <c r="I18" s="217"/>
    </row>
    <row r="19" spans="1:9" ht="15" customHeight="1" x14ac:dyDescent="0.25">
      <c r="A19" s="280"/>
      <c r="B19" s="215" t="s">
        <v>54</v>
      </c>
      <c r="C19" s="216">
        <v>45988</v>
      </c>
      <c r="D19" s="219">
        <v>8</v>
      </c>
      <c r="E19" s="219">
        <f t="shared" si="0"/>
        <v>17</v>
      </c>
      <c r="F19" s="219">
        <v>8</v>
      </c>
      <c r="G19" s="229"/>
      <c r="H19" s="217"/>
      <c r="I19" s="231"/>
    </row>
    <row r="20" spans="1:9" ht="15" customHeight="1" x14ac:dyDescent="0.25">
      <c r="A20" s="280"/>
      <c r="B20" s="215" t="s">
        <v>18</v>
      </c>
      <c r="C20" s="216">
        <v>45989</v>
      </c>
      <c r="D20" s="219">
        <v>7</v>
      </c>
      <c r="E20" s="219">
        <f t="shared" si="0"/>
        <v>16</v>
      </c>
      <c r="F20" s="219">
        <v>8</v>
      </c>
      <c r="G20" s="225"/>
      <c r="H20" s="217"/>
      <c r="I20" s="217"/>
    </row>
    <row r="21" spans="1:9" ht="15" customHeight="1" x14ac:dyDescent="0.25">
      <c r="A21" s="280"/>
      <c r="B21" s="172" t="s">
        <v>19</v>
      </c>
      <c r="C21" s="192">
        <v>45990</v>
      </c>
      <c r="D21" s="173"/>
      <c r="E21" s="173"/>
      <c r="F21" s="173"/>
      <c r="G21" s="195"/>
      <c r="H21" s="174"/>
      <c r="I21" s="174"/>
    </row>
    <row r="22" spans="1:9" ht="15" customHeight="1" thickBot="1" x14ac:dyDescent="0.3">
      <c r="A22" s="279"/>
      <c r="B22" s="179" t="s">
        <v>20</v>
      </c>
      <c r="C22" s="194">
        <v>45991</v>
      </c>
      <c r="D22" s="180"/>
      <c r="E22" s="180"/>
      <c r="F22" s="180"/>
      <c r="G22" s="181"/>
      <c r="H22" s="179"/>
      <c r="I22" s="181"/>
    </row>
    <row r="23" spans="1:9" ht="15" customHeight="1" x14ac:dyDescent="0.25">
      <c r="A23" s="278"/>
      <c r="B23" s="211" t="s">
        <v>21</v>
      </c>
      <c r="C23" s="212">
        <v>45992</v>
      </c>
      <c r="D23" s="221">
        <v>17</v>
      </c>
      <c r="E23" s="221">
        <f>+D23+9</f>
        <v>26</v>
      </c>
      <c r="F23" s="221">
        <v>8</v>
      </c>
      <c r="G23" s="214"/>
      <c r="H23" s="214"/>
      <c r="I23" s="214"/>
    </row>
    <row r="24" spans="1:9" ht="15" customHeight="1" x14ac:dyDescent="0.25">
      <c r="A24" s="280"/>
      <c r="B24" s="172" t="s">
        <v>22</v>
      </c>
      <c r="C24" s="192">
        <v>45993</v>
      </c>
      <c r="D24" s="173"/>
      <c r="E24" s="173"/>
      <c r="F24" s="173"/>
      <c r="G24" s="174"/>
      <c r="H24" s="172"/>
      <c r="I24" s="174"/>
    </row>
    <row r="25" spans="1:9" ht="15" customHeight="1" x14ac:dyDescent="0.25">
      <c r="A25" s="280"/>
      <c r="B25" s="172" t="s">
        <v>23</v>
      </c>
      <c r="C25" s="192">
        <v>45994</v>
      </c>
      <c r="D25" s="175"/>
      <c r="E25" s="175"/>
      <c r="F25" s="175"/>
      <c r="G25" s="195"/>
      <c r="H25" s="195"/>
      <c r="I25" s="195"/>
    </row>
    <row r="26" spans="1:9" ht="15" customHeight="1" x14ac:dyDescent="0.25">
      <c r="A26" s="280"/>
      <c r="B26" s="215" t="s">
        <v>54</v>
      </c>
      <c r="C26" s="216">
        <v>45995</v>
      </c>
      <c r="D26" s="228">
        <v>8</v>
      </c>
      <c r="E26" s="228">
        <f>+D26+9</f>
        <v>17</v>
      </c>
      <c r="F26" s="228">
        <v>8</v>
      </c>
      <c r="G26" s="229"/>
      <c r="H26" s="225"/>
      <c r="I26" s="217"/>
    </row>
    <row r="27" spans="1:9" ht="15" customHeight="1" x14ac:dyDescent="0.25">
      <c r="A27" s="280"/>
      <c r="B27" s="215" t="s">
        <v>18</v>
      </c>
      <c r="C27" s="216">
        <v>45996</v>
      </c>
      <c r="D27" s="228">
        <v>8</v>
      </c>
      <c r="E27" s="228">
        <f>+D27+9</f>
        <v>17</v>
      </c>
      <c r="F27" s="228">
        <v>8</v>
      </c>
      <c r="G27" s="229"/>
      <c r="H27" s="230"/>
      <c r="I27" s="231"/>
    </row>
    <row r="28" spans="1:9" ht="15" customHeight="1" x14ac:dyDescent="0.25">
      <c r="A28" s="280"/>
      <c r="B28" s="215" t="s">
        <v>19</v>
      </c>
      <c r="C28" s="216">
        <v>45997</v>
      </c>
      <c r="D28" s="228">
        <v>8</v>
      </c>
      <c r="E28" s="228">
        <v>17</v>
      </c>
      <c r="F28" s="228">
        <v>8</v>
      </c>
      <c r="G28" s="217"/>
      <c r="H28" s="219"/>
      <c r="I28" s="218"/>
    </row>
    <row r="29" spans="1:9" ht="15" customHeight="1" thickBot="1" x14ac:dyDescent="0.3">
      <c r="A29" s="279"/>
      <c r="B29" s="220" t="s">
        <v>20</v>
      </c>
      <c r="C29" s="235">
        <v>45998</v>
      </c>
      <c r="D29" s="226">
        <v>8</v>
      </c>
      <c r="E29" s="226">
        <v>17</v>
      </c>
      <c r="F29" s="226">
        <v>8</v>
      </c>
      <c r="G29" s="223"/>
      <c r="H29" s="223"/>
      <c r="I29" s="223"/>
    </row>
    <row r="30" spans="1:9" ht="15" customHeight="1" x14ac:dyDescent="0.25">
      <c r="A30" s="278"/>
      <c r="B30" s="211" t="s">
        <v>21</v>
      </c>
      <c r="C30" s="212">
        <v>45999</v>
      </c>
      <c r="D30" s="227">
        <v>8</v>
      </c>
      <c r="E30" s="227">
        <v>17</v>
      </c>
      <c r="F30" s="227">
        <v>8</v>
      </c>
      <c r="G30" s="214"/>
      <c r="H30" s="214"/>
      <c r="I30" s="214"/>
    </row>
    <row r="31" spans="1:9" ht="15" customHeight="1" x14ac:dyDescent="0.25">
      <c r="A31" s="280"/>
      <c r="B31" s="215" t="s">
        <v>22</v>
      </c>
      <c r="C31" s="216">
        <v>46000</v>
      </c>
      <c r="D31" s="228">
        <v>7</v>
      </c>
      <c r="E31" s="228">
        <f>+D31+9</f>
        <v>16</v>
      </c>
      <c r="F31" s="228">
        <v>8</v>
      </c>
      <c r="G31" s="232"/>
      <c r="H31" s="217"/>
      <c r="I31" s="217"/>
    </row>
    <row r="32" spans="1:9" ht="15" customHeight="1" x14ac:dyDescent="0.25">
      <c r="A32" s="280"/>
      <c r="B32" s="215" t="s">
        <v>23</v>
      </c>
      <c r="C32" s="216">
        <v>46001</v>
      </c>
      <c r="D32" s="228">
        <v>8</v>
      </c>
      <c r="E32" s="228">
        <f>+D32+9</f>
        <v>17</v>
      </c>
      <c r="F32" s="228">
        <v>8</v>
      </c>
      <c r="G32" s="232"/>
      <c r="H32" s="217"/>
      <c r="I32" s="217"/>
    </row>
    <row r="33" spans="1:9" ht="15" customHeight="1" x14ac:dyDescent="0.25">
      <c r="A33" s="280"/>
      <c r="B33" s="215" t="s">
        <v>54</v>
      </c>
      <c r="C33" s="216">
        <v>46002</v>
      </c>
      <c r="D33" s="228">
        <v>17</v>
      </c>
      <c r="E33" s="228">
        <f>+D33+9</f>
        <v>26</v>
      </c>
      <c r="F33" s="228">
        <v>8</v>
      </c>
      <c r="G33" s="217"/>
      <c r="H33" s="217"/>
      <c r="I33" s="217"/>
    </row>
    <row r="34" spans="1:9" ht="15" customHeight="1" x14ac:dyDescent="0.25">
      <c r="A34" s="280"/>
      <c r="B34" s="215" t="s">
        <v>18</v>
      </c>
      <c r="C34" s="216">
        <v>46003</v>
      </c>
      <c r="D34" s="219">
        <v>17</v>
      </c>
      <c r="E34" s="219">
        <f>+D34+9</f>
        <v>26</v>
      </c>
      <c r="F34" s="219">
        <v>8</v>
      </c>
      <c r="G34" s="217"/>
      <c r="H34" s="217"/>
      <c r="I34" s="217"/>
    </row>
    <row r="35" spans="1:9" ht="15" customHeight="1" x14ac:dyDescent="0.25">
      <c r="A35" s="280"/>
      <c r="B35" s="172" t="s">
        <v>19</v>
      </c>
      <c r="C35" s="192">
        <v>46004</v>
      </c>
      <c r="D35" s="208"/>
      <c r="E35" s="208"/>
      <c r="F35" s="208"/>
      <c r="G35" s="174"/>
      <c r="H35" s="174"/>
      <c r="I35" s="174"/>
    </row>
    <row r="36" spans="1:9" ht="15" customHeight="1" thickBot="1" x14ac:dyDescent="0.3">
      <c r="A36" s="279"/>
      <c r="B36" s="179" t="s">
        <v>20</v>
      </c>
      <c r="C36" s="194">
        <v>46005</v>
      </c>
      <c r="D36" s="241"/>
      <c r="E36" s="241"/>
      <c r="F36" s="241"/>
      <c r="G36" s="181"/>
      <c r="H36" s="181"/>
      <c r="I36" s="181"/>
    </row>
    <row r="37" spans="1:9" ht="15" customHeight="1" thickBot="1" x14ac:dyDescent="0.3">
      <c r="B37" s="203"/>
      <c r="C37" s="275" t="s">
        <v>56</v>
      </c>
      <c r="D37" s="276"/>
      <c r="E37" s="277"/>
      <c r="F37" s="204">
        <f>SUM(F7:F36)</f>
        <v>176</v>
      </c>
      <c r="G37" s="205"/>
      <c r="H37" s="205">
        <f>SUM(H7:H36)</f>
        <v>0</v>
      </c>
      <c r="I37" s="206">
        <f>SUM(I8:I36)</f>
        <v>0</v>
      </c>
    </row>
  </sheetData>
  <mergeCells count="8">
    <mergeCell ref="A23:A29"/>
    <mergeCell ref="A30:A36"/>
    <mergeCell ref="C37:E37"/>
    <mergeCell ref="I1:J1"/>
    <mergeCell ref="I2:J2"/>
    <mergeCell ref="A7:A8"/>
    <mergeCell ref="A9:A15"/>
    <mergeCell ref="A16:A22"/>
  </mergeCell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BA53-B730-48A3-8459-E128AC0E8257}">
  <dimension ref="A1:J37"/>
  <sheetViews>
    <sheetView workbookViewId="0">
      <selection activeCell="I2" sqref="I2:J2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30.5703125" customWidth="1"/>
    <col min="8" max="8" width="12.140625" customWidth="1"/>
    <col min="9" max="9" width="17.8554687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2" t="s">
        <v>59</v>
      </c>
      <c r="J2" s="262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84" t="s">
        <v>13</v>
      </c>
      <c r="C6" s="185" t="s">
        <v>14</v>
      </c>
      <c r="D6" s="186" t="s">
        <v>15</v>
      </c>
      <c r="E6" s="186" t="s">
        <v>16</v>
      </c>
      <c r="F6" s="187" t="s">
        <v>17</v>
      </c>
      <c r="G6" s="188">
        <v>0.25</v>
      </c>
      <c r="H6" s="188">
        <v>0.5</v>
      </c>
      <c r="I6" s="189">
        <v>1</v>
      </c>
      <c r="J6" s="68"/>
    </row>
    <row r="7" spans="1:10" ht="15" customHeight="1" x14ac:dyDescent="0.25">
      <c r="A7" s="278"/>
      <c r="B7" s="211" t="s">
        <v>19</v>
      </c>
      <c r="C7" s="212">
        <v>45976</v>
      </c>
      <c r="D7" s="221">
        <v>7</v>
      </c>
      <c r="E7" s="221">
        <f>+D7+9</f>
        <v>16</v>
      </c>
      <c r="F7" s="221">
        <v>8</v>
      </c>
      <c r="G7" s="213"/>
      <c r="H7" s="214"/>
      <c r="I7" s="214"/>
      <c r="J7" s="153"/>
    </row>
    <row r="8" spans="1:10" ht="15" customHeight="1" thickBot="1" x14ac:dyDescent="0.3">
      <c r="A8" s="279"/>
      <c r="B8" s="220" t="s">
        <v>20</v>
      </c>
      <c r="C8" s="235">
        <v>45977</v>
      </c>
      <c r="D8" s="222">
        <v>8</v>
      </c>
      <c r="E8" s="222">
        <f>+D8+9</f>
        <v>17</v>
      </c>
      <c r="F8" s="222">
        <v>8</v>
      </c>
      <c r="G8" s="223"/>
      <c r="H8" s="220"/>
      <c r="I8" s="223"/>
      <c r="J8" s="153"/>
    </row>
    <row r="9" spans="1:10" ht="15" customHeight="1" x14ac:dyDescent="0.25">
      <c r="A9" s="278"/>
      <c r="B9" s="211" t="s">
        <v>21</v>
      </c>
      <c r="C9" s="212">
        <v>45978</v>
      </c>
      <c r="D9" s="234">
        <v>17</v>
      </c>
      <c r="E9" s="234">
        <f>+D9+9</f>
        <v>26</v>
      </c>
      <c r="F9" s="234">
        <v>8</v>
      </c>
      <c r="G9" s="214"/>
      <c r="H9" s="236"/>
      <c r="I9" s="221"/>
    </row>
    <row r="10" spans="1:10" ht="15" customHeight="1" x14ac:dyDescent="0.25">
      <c r="A10" s="280"/>
      <c r="B10" s="215" t="s">
        <v>22</v>
      </c>
      <c r="C10" s="216">
        <v>45979</v>
      </c>
      <c r="D10" s="219">
        <v>17</v>
      </c>
      <c r="E10" s="219">
        <f>+D10+9</f>
        <v>26</v>
      </c>
      <c r="F10" s="219">
        <v>8</v>
      </c>
      <c r="G10" s="217"/>
      <c r="H10" s="215"/>
      <c r="I10" s="217"/>
    </row>
    <row r="11" spans="1:10" ht="15" customHeight="1" x14ac:dyDescent="0.25">
      <c r="A11" s="280"/>
      <c r="B11" s="172" t="s">
        <v>23</v>
      </c>
      <c r="C11" s="192">
        <v>45980</v>
      </c>
      <c r="D11" s="173"/>
      <c r="E11" s="173"/>
      <c r="F11" s="173"/>
      <c r="G11" s="246"/>
      <c r="H11" s="246"/>
      <c r="I11" s="246"/>
    </row>
    <row r="12" spans="1:10" ht="15" customHeight="1" x14ac:dyDescent="0.25">
      <c r="A12" s="280"/>
      <c r="B12" s="172" t="s">
        <v>54</v>
      </c>
      <c r="C12" s="192">
        <v>45981</v>
      </c>
      <c r="D12" s="173"/>
      <c r="E12" s="173"/>
      <c r="F12" s="173"/>
      <c r="G12" s="174"/>
      <c r="H12" s="172"/>
      <c r="I12" s="246"/>
    </row>
    <row r="13" spans="1:10" ht="15" customHeight="1" x14ac:dyDescent="0.25">
      <c r="A13" s="280"/>
      <c r="B13" s="215" t="s">
        <v>18</v>
      </c>
      <c r="C13" s="216">
        <v>45982</v>
      </c>
      <c r="D13" s="219">
        <v>8</v>
      </c>
      <c r="E13" s="219">
        <f>+D13+9</f>
        <v>17</v>
      </c>
      <c r="F13" s="219">
        <v>8</v>
      </c>
      <c r="G13" s="217"/>
      <c r="H13" s="217"/>
      <c r="I13" s="217"/>
    </row>
    <row r="14" spans="1:10" ht="15" customHeight="1" x14ac:dyDescent="0.25">
      <c r="A14" s="280"/>
      <c r="B14" s="215" t="s">
        <v>19</v>
      </c>
      <c r="C14" s="216">
        <v>45983</v>
      </c>
      <c r="D14" s="219">
        <v>8</v>
      </c>
      <c r="E14" s="219">
        <f>+D14+9</f>
        <v>17</v>
      </c>
      <c r="F14" s="219">
        <v>8</v>
      </c>
      <c r="G14" s="217"/>
      <c r="H14" s="217"/>
      <c r="I14" s="217"/>
    </row>
    <row r="15" spans="1:10" ht="15" customHeight="1" thickBot="1" x14ac:dyDescent="0.3">
      <c r="A15" s="279"/>
      <c r="B15" s="220" t="s">
        <v>20</v>
      </c>
      <c r="C15" s="235">
        <v>45984</v>
      </c>
      <c r="D15" s="222">
        <v>7</v>
      </c>
      <c r="E15" s="222">
        <f>+D15+9</f>
        <v>16</v>
      </c>
      <c r="F15" s="222">
        <v>8</v>
      </c>
      <c r="G15" s="223"/>
      <c r="H15" s="223"/>
      <c r="I15" s="223"/>
    </row>
    <row r="16" spans="1:10" ht="15" customHeight="1" x14ac:dyDescent="0.25">
      <c r="A16" s="278"/>
      <c r="B16" s="176" t="s">
        <v>21</v>
      </c>
      <c r="C16" s="193">
        <v>45985</v>
      </c>
      <c r="D16" s="177"/>
      <c r="E16" s="177"/>
      <c r="F16" s="177"/>
      <c r="G16" s="178"/>
      <c r="H16" s="176"/>
      <c r="I16" s="178"/>
    </row>
    <row r="17" spans="1:9" ht="15" customHeight="1" x14ac:dyDescent="0.25">
      <c r="A17" s="280"/>
      <c r="B17" s="172" t="s">
        <v>22</v>
      </c>
      <c r="C17" s="192">
        <v>45986</v>
      </c>
      <c r="D17" s="173"/>
      <c r="E17" s="173"/>
      <c r="F17" s="173"/>
      <c r="G17" s="174"/>
      <c r="H17" s="174"/>
      <c r="I17" s="174"/>
    </row>
    <row r="18" spans="1:9" ht="15" customHeight="1" x14ac:dyDescent="0.25">
      <c r="A18" s="280"/>
      <c r="B18" s="215" t="s">
        <v>23</v>
      </c>
      <c r="C18" s="216">
        <v>45987</v>
      </c>
      <c r="D18" s="219">
        <v>8</v>
      </c>
      <c r="E18" s="219">
        <f t="shared" ref="E18:E24" si="0">+D18+9</f>
        <v>17</v>
      </c>
      <c r="F18" s="219">
        <v>8</v>
      </c>
      <c r="G18" s="217"/>
      <c r="H18" s="217"/>
      <c r="I18" s="217"/>
    </row>
    <row r="19" spans="1:9" ht="15" customHeight="1" x14ac:dyDescent="0.25">
      <c r="A19" s="280"/>
      <c r="B19" s="215" t="s">
        <v>54</v>
      </c>
      <c r="C19" s="216">
        <v>45988</v>
      </c>
      <c r="D19" s="219">
        <v>16</v>
      </c>
      <c r="E19" s="219">
        <f t="shared" si="0"/>
        <v>25</v>
      </c>
      <c r="F19" s="219">
        <v>8</v>
      </c>
      <c r="G19" s="229"/>
      <c r="H19" s="217"/>
      <c r="I19" s="231"/>
    </row>
    <row r="20" spans="1:9" ht="15" customHeight="1" x14ac:dyDescent="0.25">
      <c r="A20" s="280"/>
      <c r="B20" s="215" t="s">
        <v>18</v>
      </c>
      <c r="C20" s="216">
        <v>45989</v>
      </c>
      <c r="D20" s="219">
        <v>16</v>
      </c>
      <c r="E20" s="219">
        <f t="shared" si="0"/>
        <v>25</v>
      </c>
      <c r="F20" s="219">
        <v>8</v>
      </c>
      <c r="G20" s="225"/>
      <c r="H20" s="217"/>
      <c r="I20" s="217"/>
    </row>
    <row r="21" spans="1:9" ht="15" customHeight="1" x14ac:dyDescent="0.25">
      <c r="A21" s="280"/>
      <c r="B21" s="215" t="s">
        <v>19</v>
      </c>
      <c r="C21" s="216">
        <v>45990</v>
      </c>
      <c r="D21" s="219">
        <v>16</v>
      </c>
      <c r="E21" s="219">
        <f t="shared" si="0"/>
        <v>25</v>
      </c>
      <c r="F21" s="219">
        <v>8</v>
      </c>
      <c r="G21" s="225"/>
      <c r="H21" s="217"/>
      <c r="I21" s="217"/>
    </row>
    <row r="22" spans="1:9" ht="15" customHeight="1" thickBot="1" x14ac:dyDescent="0.3">
      <c r="A22" s="279"/>
      <c r="B22" s="220" t="s">
        <v>20</v>
      </c>
      <c r="C22" s="235">
        <v>45991</v>
      </c>
      <c r="D22" s="222">
        <v>16</v>
      </c>
      <c r="E22" s="222">
        <f t="shared" si="0"/>
        <v>25</v>
      </c>
      <c r="F22" s="222">
        <v>8</v>
      </c>
      <c r="G22" s="223"/>
      <c r="H22" s="220"/>
      <c r="I22" s="223"/>
    </row>
    <row r="23" spans="1:9" ht="15" customHeight="1" x14ac:dyDescent="0.25">
      <c r="A23" s="278"/>
      <c r="B23" s="211" t="s">
        <v>21</v>
      </c>
      <c r="C23" s="212">
        <v>45992</v>
      </c>
      <c r="D23" s="221">
        <v>15</v>
      </c>
      <c r="E23" s="221">
        <f t="shared" si="0"/>
        <v>24</v>
      </c>
      <c r="F23" s="221">
        <v>8</v>
      </c>
      <c r="G23" s="214"/>
      <c r="H23" s="214"/>
      <c r="I23" s="214"/>
    </row>
    <row r="24" spans="1:9" ht="15" customHeight="1" x14ac:dyDescent="0.25">
      <c r="A24" s="280"/>
      <c r="B24" s="215" t="s">
        <v>22</v>
      </c>
      <c r="C24" s="216">
        <v>45993</v>
      </c>
      <c r="D24" s="219">
        <v>15</v>
      </c>
      <c r="E24" s="219">
        <f t="shared" si="0"/>
        <v>24</v>
      </c>
      <c r="F24" s="219">
        <v>8</v>
      </c>
      <c r="G24" s="217"/>
      <c r="H24" s="215"/>
      <c r="I24" s="217"/>
    </row>
    <row r="25" spans="1:9" ht="15" customHeight="1" x14ac:dyDescent="0.25">
      <c r="A25" s="280"/>
      <c r="B25" s="172" t="s">
        <v>23</v>
      </c>
      <c r="C25" s="192">
        <v>45994</v>
      </c>
      <c r="D25" s="175"/>
      <c r="E25" s="175"/>
      <c r="F25" s="175"/>
      <c r="G25" s="195"/>
      <c r="H25" s="195"/>
      <c r="I25" s="195"/>
    </row>
    <row r="26" spans="1:9" ht="15" customHeight="1" x14ac:dyDescent="0.25">
      <c r="A26" s="280"/>
      <c r="B26" s="172" t="s">
        <v>54</v>
      </c>
      <c r="C26" s="192">
        <v>45995</v>
      </c>
      <c r="D26" s="175"/>
      <c r="E26" s="175"/>
      <c r="F26" s="175"/>
      <c r="G26" s="201"/>
      <c r="H26" s="195"/>
      <c r="I26" s="174"/>
    </row>
    <row r="27" spans="1:9" ht="15" customHeight="1" x14ac:dyDescent="0.25">
      <c r="A27" s="280"/>
      <c r="B27" s="215" t="s">
        <v>18</v>
      </c>
      <c r="C27" s="216">
        <v>45996</v>
      </c>
      <c r="D27" s="228">
        <v>10</v>
      </c>
      <c r="E27" s="228">
        <f>+D27+9</f>
        <v>19</v>
      </c>
      <c r="F27" s="228">
        <v>8</v>
      </c>
      <c r="G27" s="229"/>
      <c r="H27" s="230"/>
      <c r="I27" s="231"/>
    </row>
    <row r="28" spans="1:9" ht="15" customHeight="1" x14ac:dyDescent="0.25">
      <c r="A28" s="280"/>
      <c r="B28" s="215" t="s">
        <v>19</v>
      </c>
      <c r="C28" s="216">
        <v>45997</v>
      </c>
      <c r="D28" s="228">
        <v>10</v>
      </c>
      <c r="E28" s="228">
        <f>+D28+9</f>
        <v>19</v>
      </c>
      <c r="F28" s="228">
        <v>8</v>
      </c>
      <c r="G28" s="217"/>
      <c r="H28" s="219"/>
      <c r="I28" s="218"/>
    </row>
    <row r="29" spans="1:9" ht="15" customHeight="1" thickBot="1" x14ac:dyDescent="0.3">
      <c r="A29" s="279"/>
      <c r="B29" s="220" t="s">
        <v>20</v>
      </c>
      <c r="C29" s="235">
        <v>45998</v>
      </c>
      <c r="D29" s="226">
        <v>10</v>
      </c>
      <c r="E29" s="226">
        <f>+D29+9</f>
        <v>19</v>
      </c>
      <c r="F29" s="226">
        <v>8</v>
      </c>
      <c r="G29" s="223"/>
      <c r="H29" s="223"/>
      <c r="I29" s="223"/>
    </row>
    <row r="30" spans="1:9" ht="15" customHeight="1" x14ac:dyDescent="0.25">
      <c r="A30" s="278"/>
      <c r="B30" s="211" t="s">
        <v>21</v>
      </c>
      <c r="C30" s="212">
        <v>45999</v>
      </c>
      <c r="D30" s="227">
        <v>16</v>
      </c>
      <c r="E30" s="227">
        <f>+D30+9</f>
        <v>25</v>
      </c>
      <c r="F30" s="227">
        <v>8</v>
      </c>
      <c r="G30" s="214"/>
      <c r="H30" s="214"/>
      <c r="I30" s="214"/>
    </row>
    <row r="31" spans="1:9" ht="15" customHeight="1" x14ac:dyDescent="0.25">
      <c r="A31" s="280"/>
      <c r="B31" s="215" t="s">
        <v>22</v>
      </c>
      <c r="C31" s="216">
        <v>46000</v>
      </c>
      <c r="D31" s="228">
        <v>16</v>
      </c>
      <c r="E31" s="228">
        <f>+D31+9</f>
        <v>25</v>
      </c>
      <c r="F31" s="228">
        <v>8</v>
      </c>
      <c r="G31" s="232"/>
      <c r="H31" s="217"/>
      <c r="I31" s="217"/>
    </row>
    <row r="32" spans="1:9" ht="15" customHeight="1" x14ac:dyDescent="0.25">
      <c r="A32" s="280"/>
      <c r="B32" s="172" t="s">
        <v>23</v>
      </c>
      <c r="C32" s="192">
        <v>46001</v>
      </c>
      <c r="D32" s="175"/>
      <c r="E32" s="175"/>
      <c r="F32" s="175"/>
      <c r="G32" s="207"/>
      <c r="H32" s="174"/>
      <c r="I32" s="174"/>
    </row>
    <row r="33" spans="1:9" ht="15" customHeight="1" x14ac:dyDescent="0.25">
      <c r="A33" s="280"/>
      <c r="B33" s="172" t="s">
        <v>54</v>
      </c>
      <c r="C33" s="192">
        <v>46002</v>
      </c>
      <c r="D33" s="175"/>
      <c r="E33" s="175"/>
      <c r="F33" s="175"/>
      <c r="G33" s="174"/>
      <c r="H33" s="174"/>
      <c r="I33" s="174"/>
    </row>
    <row r="34" spans="1:9" ht="15" customHeight="1" x14ac:dyDescent="0.25">
      <c r="A34" s="280"/>
      <c r="B34" s="215" t="s">
        <v>18</v>
      </c>
      <c r="C34" s="216">
        <v>46003</v>
      </c>
      <c r="D34" s="242">
        <v>7</v>
      </c>
      <c r="E34" s="242">
        <f>+D34+9</f>
        <v>16</v>
      </c>
      <c r="F34" s="242">
        <v>8</v>
      </c>
      <c r="G34" s="217"/>
      <c r="H34" s="217"/>
      <c r="I34" s="217"/>
    </row>
    <row r="35" spans="1:9" ht="15" customHeight="1" x14ac:dyDescent="0.25">
      <c r="A35" s="280"/>
      <c r="B35" s="215" t="s">
        <v>19</v>
      </c>
      <c r="C35" s="216">
        <v>46004</v>
      </c>
      <c r="D35" s="243">
        <v>8</v>
      </c>
      <c r="E35" s="243">
        <f>+D35+9</f>
        <v>17</v>
      </c>
      <c r="F35" s="243">
        <v>8</v>
      </c>
      <c r="G35" s="217"/>
      <c r="H35" s="217"/>
      <c r="I35" s="217"/>
    </row>
    <row r="36" spans="1:9" ht="15" customHeight="1" thickBot="1" x14ac:dyDescent="0.3">
      <c r="A36" s="279"/>
      <c r="B36" s="220" t="s">
        <v>20</v>
      </c>
      <c r="C36" s="235">
        <v>46005</v>
      </c>
      <c r="D36" s="239">
        <v>8</v>
      </c>
      <c r="E36" s="239">
        <f>+D36+9</f>
        <v>17</v>
      </c>
      <c r="F36" s="239">
        <v>8</v>
      </c>
      <c r="G36" s="223"/>
      <c r="H36" s="223"/>
      <c r="I36" s="223"/>
    </row>
    <row r="37" spans="1:9" ht="15" customHeight="1" thickBot="1" x14ac:dyDescent="0.3">
      <c r="B37" s="203"/>
      <c r="C37" s="275" t="s">
        <v>56</v>
      </c>
      <c r="D37" s="276"/>
      <c r="E37" s="277"/>
      <c r="F37" s="204">
        <f>SUM(F7:F36)</f>
        <v>176</v>
      </c>
      <c r="G37" s="205"/>
      <c r="H37" s="205">
        <f>SUM(H7:H36)</f>
        <v>0</v>
      </c>
      <c r="I37" s="206">
        <f>SUM(I8:I36)</f>
        <v>0</v>
      </c>
    </row>
  </sheetData>
  <mergeCells count="8">
    <mergeCell ref="A23:A29"/>
    <mergeCell ref="A30:A36"/>
    <mergeCell ref="C37:E37"/>
    <mergeCell ref="I1:J1"/>
    <mergeCell ref="I2:J2"/>
    <mergeCell ref="A7:A8"/>
    <mergeCell ref="A9:A15"/>
    <mergeCell ref="A16:A22"/>
  </mergeCell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EB0C-E19A-4209-AC29-7F61DCACFA26}">
  <dimension ref="A1:J37"/>
  <sheetViews>
    <sheetView workbookViewId="0">
      <selection activeCell="I3" sqref="I3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41.85546875" customWidth="1"/>
    <col min="8" max="8" width="9.140625" customWidth="1"/>
    <col min="9" max="9" width="9.140625" style="182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2" t="s">
        <v>58</v>
      </c>
      <c r="J2" s="262"/>
    </row>
    <row r="3" spans="1:10" ht="15.75" thickTop="1" x14ac:dyDescent="0.25">
      <c r="C3" s="45"/>
      <c r="D3" s="164"/>
      <c r="E3" s="165"/>
      <c r="F3" s="48"/>
      <c r="G3" s="49"/>
      <c r="H3" s="50"/>
      <c r="I3" s="202"/>
    </row>
    <row r="4" spans="1:10" x14ac:dyDescent="0.25">
      <c r="C4" s="154"/>
      <c r="D4" s="166"/>
      <c r="E4" s="167"/>
      <c r="F4" s="54"/>
      <c r="G4" s="53"/>
      <c r="H4" s="50"/>
      <c r="I4" s="202"/>
    </row>
    <row r="5" spans="1:10" ht="15.75" thickBot="1" x14ac:dyDescent="0.3">
      <c r="C5" s="122"/>
      <c r="D5" s="166"/>
      <c r="E5" s="167"/>
      <c r="F5" s="54"/>
      <c r="G5" s="53"/>
      <c r="H5" s="50"/>
      <c r="I5" s="202"/>
    </row>
    <row r="6" spans="1:10" ht="15" customHeight="1" thickBot="1" x14ac:dyDescent="0.3">
      <c r="B6" s="184" t="s">
        <v>13</v>
      </c>
      <c r="C6" s="185" t="s">
        <v>14</v>
      </c>
      <c r="D6" s="186" t="s">
        <v>15</v>
      </c>
      <c r="E6" s="186" t="s">
        <v>16</v>
      </c>
      <c r="F6" s="187" t="s">
        <v>17</v>
      </c>
      <c r="G6" s="188">
        <v>0.25</v>
      </c>
      <c r="H6" s="188">
        <v>0.5</v>
      </c>
      <c r="I6" s="189">
        <v>1</v>
      </c>
      <c r="J6" s="68"/>
    </row>
    <row r="7" spans="1:10" ht="15" customHeight="1" x14ac:dyDescent="0.25">
      <c r="A7" s="278"/>
      <c r="B7" s="176" t="s">
        <v>19</v>
      </c>
      <c r="C7" s="193">
        <v>45976</v>
      </c>
      <c r="D7" s="251"/>
      <c r="E7" s="252"/>
      <c r="F7" s="252"/>
      <c r="G7" s="200"/>
      <c r="H7" s="178"/>
      <c r="I7" s="178"/>
    </row>
    <row r="8" spans="1:10" ht="15" customHeight="1" thickBot="1" x14ac:dyDescent="0.3">
      <c r="A8" s="279"/>
      <c r="B8" s="179" t="s">
        <v>20</v>
      </c>
      <c r="C8" s="194">
        <v>45977</v>
      </c>
      <c r="D8" s="253"/>
      <c r="E8" s="253"/>
      <c r="F8" s="253"/>
      <c r="G8" s="181"/>
      <c r="H8" s="179"/>
      <c r="I8" s="181"/>
    </row>
    <row r="9" spans="1:10" ht="15" customHeight="1" x14ac:dyDescent="0.25">
      <c r="A9" s="278"/>
      <c r="B9" s="211" t="s">
        <v>21</v>
      </c>
      <c r="C9" s="212">
        <v>45978</v>
      </c>
      <c r="D9" s="219">
        <v>17</v>
      </c>
      <c r="E9" s="219">
        <f>+D9+9</f>
        <v>26</v>
      </c>
      <c r="F9" s="219">
        <v>8</v>
      </c>
      <c r="G9" s="214"/>
      <c r="H9" s="236"/>
      <c r="I9" s="221"/>
    </row>
    <row r="10" spans="1:10" ht="15" customHeight="1" x14ac:dyDescent="0.25">
      <c r="A10" s="280"/>
      <c r="B10" s="215" t="s">
        <v>22</v>
      </c>
      <c r="C10" s="216">
        <v>45979</v>
      </c>
      <c r="D10" s="219">
        <v>17</v>
      </c>
      <c r="E10" s="219">
        <f>+D10+9</f>
        <v>26</v>
      </c>
      <c r="F10" s="219">
        <v>8</v>
      </c>
      <c r="G10" s="217"/>
      <c r="H10" s="215"/>
      <c r="I10" s="217"/>
    </row>
    <row r="11" spans="1:10" ht="15" customHeight="1" x14ac:dyDescent="0.25">
      <c r="A11" s="280"/>
      <c r="B11" s="215" t="s">
        <v>23</v>
      </c>
      <c r="C11" s="216">
        <v>45980</v>
      </c>
      <c r="D11" s="219">
        <v>7</v>
      </c>
      <c r="E11" s="219">
        <f>+D11+9</f>
        <v>16</v>
      </c>
      <c r="F11" s="219">
        <v>8</v>
      </c>
      <c r="G11" s="233"/>
      <c r="H11" s="233"/>
      <c r="I11" s="233"/>
    </row>
    <row r="12" spans="1:10" ht="15" customHeight="1" x14ac:dyDescent="0.25">
      <c r="A12" s="280"/>
      <c r="B12" s="172" t="s">
        <v>54</v>
      </c>
      <c r="C12" s="192">
        <v>45981</v>
      </c>
      <c r="D12" s="173"/>
      <c r="E12" s="173"/>
      <c r="F12" s="173"/>
      <c r="G12" s="174"/>
      <c r="H12" s="172"/>
      <c r="I12" s="246"/>
    </row>
    <row r="13" spans="1:10" ht="15" customHeight="1" x14ac:dyDescent="0.25">
      <c r="A13" s="280"/>
      <c r="B13" s="172" t="s">
        <v>18</v>
      </c>
      <c r="C13" s="192">
        <v>45982</v>
      </c>
      <c r="D13" s="173"/>
      <c r="E13" s="173"/>
      <c r="F13" s="173"/>
      <c r="G13" s="174"/>
      <c r="H13" s="174"/>
      <c r="I13" s="174"/>
    </row>
    <row r="14" spans="1:10" ht="15" customHeight="1" x14ac:dyDescent="0.25">
      <c r="A14" s="280"/>
      <c r="B14" s="215" t="s">
        <v>19</v>
      </c>
      <c r="C14" s="216">
        <v>45983</v>
      </c>
      <c r="D14" s="219">
        <v>7</v>
      </c>
      <c r="E14" s="219">
        <f>+D14+9</f>
        <v>16</v>
      </c>
      <c r="F14" s="219">
        <v>8</v>
      </c>
      <c r="G14" s="217"/>
      <c r="H14" s="217"/>
      <c r="I14" s="217"/>
    </row>
    <row r="15" spans="1:10" ht="15" customHeight="1" thickBot="1" x14ac:dyDescent="0.3">
      <c r="A15" s="279"/>
      <c r="B15" s="220" t="s">
        <v>20</v>
      </c>
      <c r="C15" s="235">
        <v>45984</v>
      </c>
      <c r="D15" s="222">
        <v>8</v>
      </c>
      <c r="E15" s="222">
        <f>+D15+9</f>
        <v>17</v>
      </c>
      <c r="F15" s="222">
        <v>8</v>
      </c>
      <c r="G15" s="223"/>
      <c r="H15" s="223"/>
      <c r="I15" s="223"/>
    </row>
    <row r="16" spans="1:10" ht="15" customHeight="1" x14ac:dyDescent="0.25">
      <c r="A16" s="278"/>
      <c r="B16" s="211" t="s">
        <v>21</v>
      </c>
      <c r="C16" s="212">
        <v>45985</v>
      </c>
      <c r="D16" s="221">
        <v>8</v>
      </c>
      <c r="E16" s="221">
        <f>+D16+9</f>
        <v>17</v>
      </c>
      <c r="F16" s="221">
        <v>8</v>
      </c>
      <c r="G16" s="214"/>
      <c r="H16" s="211"/>
      <c r="I16" s="214"/>
    </row>
    <row r="17" spans="1:9" ht="15" customHeight="1" x14ac:dyDescent="0.25">
      <c r="A17" s="280"/>
      <c r="B17" s="215" t="s">
        <v>22</v>
      </c>
      <c r="C17" s="216">
        <v>45986</v>
      </c>
      <c r="D17" s="219">
        <v>7</v>
      </c>
      <c r="E17" s="219">
        <f>+D17+9</f>
        <v>16</v>
      </c>
      <c r="F17" s="219">
        <v>8</v>
      </c>
      <c r="G17" s="217"/>
      <c r="H17" s="217"/>
      <c r="I17" s="217"/>
    </row>
    <row r="18" spans="1:9" ht="15" customHeight="1" x14ac:dyDescent="0.25">
      <c r="A18" s="280"/>
      <c r="B18" s="215" t="s">
        <v>23</v>
      </c>
      <c r="C18" s="216">
        <v>45987</v>
      </c>
      <c r="D18" s="219">
        <v>8</v>
      </c>
      <c r="E18" s="219">
        <v>17</v>
      </c>
      <c r="F18" s="219">
        <v>8</v>
      </c>
      <c r="G18" s="217"/>
      <c r="H18" s="217"/>
      <c r="I18" s="217"/>
    </row>
    <row r="19" spans="1:9" ht="15" customHeight="1" x14ac:dyDescent="0.25">
      <c r="A19" s="280"/>
      <c r="B19" s="215" t="s">
        <v>54</v>
      </c>
      <c r="C19" s="216">
        <v>45988</v>
      </c>
      <c r="D19" s="219">
        <v>17</v>
      </c>
      <c r="E19" s="219">
        <f>+D19+9</f>
        <v>26</v>
      </c>
      <c r="F19" s="219">
        <v>8</v>
      </c>
      <c r="G19" s="229"/>
      <c r="H19" s="217"/>
      <c r="I19" s="231"/>
    </row>
    <row r="20" spans="1:9" ht="15" customHeight="1" x14ac:dyDescent="0.25">
      <c r="A20" s="280"/>
      <c r="B20" s="215" t="s">
        <v>18</v>
      </c>
      <c r="C20" s="216">
        <v>45989</v>
      </c>
      <c r="D20" s="219">
        <v>17</v>
      </c>
      <c r="E20" s="219">
        <f>+D20+9</f>
        <v>26</v>
      </c>
      <c r="F20" s="219">
        <v>8</v>
      </c>
      <c r="G20" s="225"/>
      <c r="H20" s="217"/>
      <c r="I20" s="217"/>
    </row>
    <row r="21" spans="1:9" ht="15" customHeight="1" x14ac:dyDescent="0.25">
      <c r="A21" s="280"/>
      <c r="B21" s="172" t="s">
        <v>19</v>
      </c>
      <c r="C21" s="192">
        <v>45990</v>
      </c>
      <c r="D21" s="173"/>
      <c r="E21" s="173"/>
      <c r="F21" s="173"/>
      <c r="G21" s="195"/>
      <c r="H21" s="174"/>
      <c r="I21" s="174"/>
    </row>
    <row r="22" spans="1:9" ht="15" customHeight="1" thickBot="1" x14ac:dyDescent="0.3">
      <c r="A22" s="279"/>
      <c r="B22" s="179" t="s">
        <v>20</v>
      </c>
      <c r="C22" s="194">
        <v>45991</v>
      </c>
      <c r="D22" s="180"/>
      <c r="E22" s="180"/>
      <c r="F22" s="180"/>
      <c r="G22" s="181"/>
      <c r="H22" s="179"/>
      <c r="I22" s="181"/>
    </row>
    <row r="23" spans="1:9" ht="15" customHeight="1" x14ac:dyDescent="0.25">
      <c r="A23" s="278"/>
      <c r="B23" s="176" t="s">
        <v>21</v>
      </c>
      <c r="C23" s="193">
        <v>45992</v>
      </c>
      <c r="D23" s="177"/>
      <c r="E23" s="177"/>
      <c r="F23" s="177"/>
      <c r="G23" s="178"/>
      <c r="H23" s="178"/>
      <c r="I23" s="178"/>
    </row>
    <row r="24" spans="1:9" ht="15" customHeight="1" x14ac:dyDescent="0.25">
      <c r="A24" s="280"/>
      <c r="B24" s="172" t="s">
        <v>22</v>
      </c>
      <c r="C24" s="192">
        <v>45993</v>
      </c>
      <c r="D24" s="173"/>
      <c r="E24" s="173"/>
      <c r="F24" s="173"/>
      <c r="G24" s="174"/>
      <c r="H24" s="172"/>
      <c r="I24" s="174"/>
    </row>
    <row r="25" spans="1:9" ht="15" customHeight="1" x14ac:dyDescent="0.25">
      <c r="A25" s="280"/>
      <c r="B25" s="215" t="s">
        <v>23</v>
      </c>
      <c r="C25" s="216">
        <v>45994</v>
      </c>
      <c r="D25" s="228">
        <v>7</v>
      </c>
      <c r="E25" s="228">
        <f>+D25+9</f>
        <v>16</v>
      </c>
      <c r="F25" s="228">
        <v>8</v>
      </c>
      <c r="G25" s="225"/>
      <c r="H25" s="225"/>
      <c r="I25" s="225"/>
    </row>
    <row r="26" spans="1:9" ht="15" customHeight="1" x14ac:dyDescent="0.25">
      <c r="A26" s="280"/>
      <c r="B26" s="215" t="s">
        <v>54</v>
      </c>
      <c r="C26" s="216">
        <v>45995</v>
      </c>
      <c r="D26" s="228">
        <v>16</v>
      </c>
      <c r="E26" s="228">
        <f>+D26+9</f>
        <v>25</v>
      </c>
      <c r="F26" s="228">
        <v>8</v>
      </c>
      <c r="G26" s="229"/>
      <c r="H26" s="225"/>
      <c r="I26" s="217"/>
    </row>
    <row r="27" spans="1:9" ht="15" customHeight="1" x14ac:dyDescent="0.25">
      <c r="A27" s="280"/>
      <c r="B27" s="215" t="s">
        <v>18</v>
      </c>
      <c r="C27" s="216">
        <v>45996</v>
      </c>
      <c r="D27" s="228">
        <v>16</v>
      </c>
      <c r="E27" s="228">
        <f>+D27+9</f>
        <v>25</v>
      </c>
      <c r="F27" s="228">
        <v>8</v>
      </c>
      <c r="G27" s="229"/>
      <c r="H27" s="230"/>
      <c r="I27" s="231"/>
    </row>
    <row r="28" spans="1:9" ht="15" customHeight="1" x14ac:dyDescent="0.25">
      <c r="A28" s="280"/>
      <c r="B28" s="215" t="s">
        <v>19</v>
      </c>
      <c r="C28" s="216">
        <v>45997</v>
      </c>
      <c r="D28" s="228">
        <v>17</v>
      </c>
      <c r="E28" s="228">
        <f>+D28+9</f>
        <v>26</v>
      </c>
      <c r="F28" s="228">
        <v>8</v>
      </c>
      <c r="G28" s="217"/>
      <c r="H28" s="219"/>
      <c r="I28" s="218"/>
    </row>
    <row r="29" spans="1:9" ht="15" customHeight="1" thickBot="1" x14ac:dyDescent="0.3">
      <c r="A29" s="279"/>
      <c r="B29" s="220" t="s">
        <v>20</v>
      </c>
      <c r="C29" s="235">
        <v>45998</v>
      </c>
      <c r="D29" s="226">
        <v>17</v>
      </c>
      <c r="E29" s="226">
        <f>+D29+9</f>
        <v>26</v>
      </c>
      <c r="F29" s="226">
        <v>8</v>
      </c>
      <c r="G29" s="223"/>
      <c r="H29" s="223"/>
      <c r="I29" s="223"/>
    </row>
    <row r="30" spans="1:9" ht="15" customHeight="1" x14ac:dyDescent="0.25">
      <c r="A30" s="278"/>
      <c r="B30" s="211" t="s">
        <v>21</v>
      </c>
      <c r="C30" s="212">
        <v>45999</v>
      </c>
      <c r="D30" s="227">
        <v>15</v>
      </c>
      <c r="E30" s="227">
        <v>17</v>
      </c>
      <c r="F30" s="227">
        <v>8</v>
      </c>
      <c r="G30" s="214"/>
      <c r="H30" s="214"/>
      <c r="I30" s="214"/>
    </row>
    <row r="31" spans="1:9" ht="15" customHeight="1" x14ac:dyDescent="0.25">
      <c r="A31" s="280"/>
      <c r="B31" s="215" t="s">
        <v>22</v>
      </c>
      <c r="C31" s="216">
        <v>46000</v>
      </c>
      <c r="D31" s="228">
        <v>15</v>
      </c>
      <c r="E31" s="228">
        <f>+D31+9</f>
        <v>24</v>
      </c>
      <c r="F31" s="228">
        <v>8</v>
      </c>
      <c r="G31" s="232"/>
      <c r="H31" s="217"/>
      <c r="I31" s="217"/>
    </row>
    <row r="32" spans="1:9" ht="15" customHeight="1" x14ac:dyDescent="0.25">
      <c r="A32" s="280"/>
      <c r="B32" s="172" t="s">
        <v>23</v>
      </c>
      <c r="C32" s="192">
        <v>46001</v>
      </c>
      <c r="D32" s="175"/>
      <c r="E32" s="175"/>
      <c r="F32" s="175"/>
      <c r="G32" s="207"/>
      <c r="H32" s="174"/>
      <c r="I32" s="174"/>
    </row>
    <row r="33" spans="1:9" ht="15" customHeight="1" x14ac:dyDescent="0.25">
      <c r="A33" s="280"/>
      <c r="B33" s="172" t="s">
        <v>54</v>
      </c>
      <c r="C33" s="192">
        <v>46002</v>
      </c>
      <c r="D33" s="175"/>
      <c r="E33" s="175"/>
      <c r="F33" s="175"/>
      <c r="G33" s="174"/>
      <c r="H33" s="174"/>
      <c r="I33" s="174"/>
    </row>
    <row r="34" spans="1:9" ht="15" customHeight="1" x14ac:dyDescent="0.25">
      <c r="A34" s="280"/>
      <c r="B34" s="215" t="s">
        <v>18</v>
      </c>
      <c r="C34" s="216">
        <v>46003</v>
      </c>
      <c r="D34" s="242">
        <v>10</v>
      </c>
      <c r="E34" s="242">
        <f>+D34+9</f>
        <v>19</v>
      </c>
      <c r="F34" s="242">
        <v>8</v>
      </c>
      <c r="G34" s="217"/>
      <c r="H34" s="217"/>
      <c r="I34" s="217"/>
    </row>
    <row r="35" spans="1:9" ht="15" customHeight="1" x14ac:dyDescent="0.25">
      <c r="A35" s="280"/>
      <c r="B35" s="215" t="s">
        <v>19</v>
      </c>
      <c r="C35" s="216">
        <v>46004</v>
      </c>
      <c r="D35" s="243">
        <v>10</v>
      </c>
      <c r="E35" s="243">
        <f>+D35+9</f>
        <v>19</v>
      </c>
      <c r="F35" s="243">
        <v>8</v>
      </c>
      <c r="G35" s="217"/>
      <c r="H35" s="217"/>
      <c r="I35" s="217"/>
    </row>
    <row r="36" spans="1:9" ht="15" customHeight="1" thickBot="1" x14ac:dyDescent="0.3">
      <c r="A36" s="279"/>
      <c r="B36" s="220" t="s">
        <v>20</v>
      </c>
      <c r="C36" s="235">
        <v>46005</v>
      </c>
      <c r="D36" s="239">
        <v>10</v>
      </c>
      <c r="E36" s="239">
        <f>+D36+9</f>
        <v>19</v>
      </c>
      <c r="F36" s="239">
        <v>8</v>
      </c>
      <c r="G36" s="223"/>
      <c r="H36" s="223"/>
      <c r="I36" s="223"/>
    </row>
    <row r="37" spans="1:9" ht="15" customHeight="1" thickBot="1" x14ac:dyDescent="0.3">
      <c r="B37" s="203"/>
      <c r="C37" s="275" t="s">
        <v>56</v>
      </c>
      <c r="D37" s="276"/>
      <c r="E37" s="277"/>
      <c r="F37" s="204">
        <f>SUM(F7:F36)</f>
        <v>160</v>
      </c>
      <c r="G37" s="205"/>
      <c r="H37" s="205">
        <f>SUM(H7:H36)</f>
        <v>0</v>
      </c>
      <c r="I37" s="206">
        <f>SUM(I8:I36)</f>
        <v>0</v>
      </c>
    </row>
  </sheetData>
  <mergeCells count="8">
    <mergeCell ref="A23:A29"/>
    <mergeCell ref="A30:A36"/>
    <mergeCell ref="C37:E37"/>
    <mergeCell ref="I1:J1"/>
    <mergeCell ref="I2:J2"/>
    <mergeCell ref="A7:A8"/>
    <mergeCell ref="A9:A15"/>
    <mergeCell ref="A16:A22"/>
  </mergeCells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9436-AC04-49FA-8411-8B31D3B834DF}">
  <dimension ref="A1:J37"/>
  <sheetViews>
    <sheetView workbookViewId="0">
      <selection activeCell="G34" sqref="G34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24.85546875" customWidth="1"/>
    <col min="8" max="8" width="9.1406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1" t="s">
        <v>7</v>
      </c>
      <c r="J1" s="261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2" t="s">
        <v>55</v>
      </c>
      <c r="J2" s="262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84" t="s">
        <v>13</v>
      </c>
      <c r="C6" s="185" t="s">
        <v>14</v>
      </c>
      <c r="D6" s="186" t="s">
        <v>15</v>
      </c>
      <c r="E6" s="186" t="s">
        <v>16</v>
      </c>
      <c r="F6" s="187" t="s">
        <v>17</v>
      </c>
      <c r="G6" s="188">
        <v>0.25</v>
      </c>
      <c r="H6" s="188">
        <v>0.5</v>
      </c>
      <c r="I6" s="189">
        <v>1</v>
      </c>
      <c r="J6" s="68"/>
    </row>
    <row r="7" spans="1:10" ht="15" customHeight="1" x14ac:dyDescent="0.25">
      <c r="A7" s="278"/>
      <c r="B7" s="211" t="s">
        <v>19</v>
      </c>
      <c r="C7" s="212">
        <v>45976</v>
      </c>
      <c r="D7" s="237">
        <v>17</v>
      </c>
      <c r="E7" s="221">
        <f>+D7+9</f>
        <v>26</v>
      </c>
      <c r="F7" s="238">
        <v>8</v>
      </c>
      <c r="G7" s="213"/>
      <c r="H7" s="214"/>
      <c r="I7" s="214"/>
    </row>
    <row r="8" spans="1:10" ht="15" customHeight="1" thickBot="1" x14ac:dyDescent="0.3">
      <c r="A8" s="279"/>
      <c r="B8" s="220" t="s">
        <v>20</v>
      </c>
      <c r="C8" s="235">
        <v>45977</v>
      </c>
      <c r="D8" s="222">
        <v>17</v>
      </c>
      <c r="E8" s="222">
        <f>+D8+9</f>
        <v>26</v>
      </c>
      <c r="F8" s="222">
        <v>8</v>
      </c>
      <c r="G8" s="223"/>
      <c r="H8" s="220"/>
      <c r="I8" s="223"/>
    </row>
    <row r="9" spans="1:10" ht="15" customHeight="1" x14ac:dyDescent="0.25">
      <c r="A9" s="278"/>
      <c r="B9" s="176" t="s">
        <v>21</v>
      </c>
      <c r="C9" s="193">
        <v>45978</v>
      </c>
      <c r="D9" s="254"/>
      <c r="E9" s="254"/>
      <c r="F9" s="254"/>
      <c r="G9" s="178"/>
      <c r="H9" s="245"/>
      <c r="I9" s="177"/>
    </row>
    <row r="10" spans="1:10" ht="15" customHeight="1" x14ac:dyDescent="0.25">
      <c r="A10" s="280"/>
      <c r="B10" s="172" t="s">
        <v>22</v>
      </c>
      <c r="C10" s="192">
        <v>45979</v>
      </c>
      <c r="D10" s="173"/>
      <c r="E10" s="173"/>
      <c r="F10" s="173"/>
      <c r="G10" s="174"/>
      <c r="H10" s="172"/>
      <c r="I10" s="174"/>
    </row>
    <row r="11" spans="1:10" ht="15" customHeight="1" x14ac:dyDescent="0.25">
      <c r="A11" s="280"/>
      <c r="B11" s="215" t="s">
        <v>23</v>
      </c>
      <c r="C11" s="216">
        <v>45980</v>
      </c>
      <c r="D11" s="219">
        <v>8</v>
      </c>
      <c r="E11" s="219">
        <f>+D11+9</f>
        <v>17</v>
      </c>
      <c r="F11" s="219">
        <v>8</v>
      </c>
      <c r="G11" s="233"/>
      <c r="H11" s="233"/>
      <c r="I11" s="233"/>
    </row>
    <row r="12" spans="1:10" ht="15" customHeight="1" x14ac:dyDescent="0.25">
      <c r="A12" s="280"/>
      <c r="B12" s="215" t="s">
        <v>54</v>
      </c>
      <c r="C12" s="216">
        <v>45981</v>
      </c>
      <c r="D12" s="219">
        <v>8</v>
      </c>
      <c r="E12" s="219">
        <f>+D12+9</f>
        <v>17</v>
      </c>
      <c r="F12" s="219">
        <v>8</v>
      </c>
      <c r="G12" s="217"/>
      <c r="H12" s="215"/>
      <c r="I12" s="233"/>
    </row>
    <row r="13" spans="1:10" ht="15" customHeight="1" x14ac:dyDescent="0.25">
      <c r="A13" s="280"/>
      <c r="B13" s="215" t="s">
        <v>18</v>
      </c>
      <c r="C13" s="216">
        <v>45982</v>
      </c>
      <c r="D13" s="219">
        <v>7</v>
      </c>
      <c r="E13" s="219">
        <f>+D13+9</f>
        <v>16</v>
      </c>
      <c r="F13" s="219">
        <v>8</v>
      </c>
      <c r="G13" s="217"/>
      <c r="H13" s="217"/>
      <c r="I13" s="217"/>
    </row>
    <row r="14" spans="1:10" ht="15" customHeight="1" x14ac:dyDescent="0.25">
      <c r="A14" s="280"/>
      <c r="B14" s="215" t="s">
        <v>19</v>
      </c>
      <c r="C14" s="216">
        <v>45983</v>
      </c>
      <c r="D14" s="219">
        <v>8</v>
      </c>
      <c r="E14" s="219">
        <f>+D14+9</f>
        <v>17</v>
      </c>
      <c r="F14" s="219">
        <v>8</v>
      </c>
      <c r="G14" s="217"/>
      <c r="H14" s="217"/>
      <c r="I14" s="217"/>
    </row>
    <row r="15" spans="1:10" ht="15" customHeight="1" thickBot="1" x14ac:dyDescent="0.3">
      <c r="A15" s="279"/>
      <c r="B15" s="220" t="s">
        <v>20</v>
      </c>
      <c r="C15" s="235">
        <v>45984</v>
      </c>
      <c r="D15" s="222">
        <v>8</v>
      </c>
      <c r="E15" s="222">
        <f>+D15+9</f>
        <v>17</v>
      </c>
      <c r="F15" s="222">
        <v>8</v>
      </c>
      <c r="G15" s="223"/>
      <c r="H15" s="223"/>
      <c r="I15" s="223"/>
    </row>
    <row r="16" spans="1:10" ht="15" customHeight="1" x14ac:dyDescent="0.25">
      <c r="A16" s="278"/>
      <c r="B16" s="176" t="s">
        <v>21</v>
      </c>
      <c r="C16" s="193">
        <v>45985</v>
      </c>
      <c r="D16" s="177"/>
      <c r="E16" s="177"/>
      <c r="F16" s="177"/>
      <c r="G16" s="178"/>
      <c r="H16" s="176"/>
      <c r="I16" s="178"/>
    </row>
    <row r="17" spans="1:9" ht="15" customHeight="1" x14ac:dyDescent="0.25">
      <c r="A17" s="280"/>
      <c r="B17" s="172" t="s">
        <v>22</v>
      </c>
      <c r="C17" s="192">
        <v>45986</v>
      </c>
      <c r="D17" s="173"/>
      <c r="E17" s="173"/>
      <c r="F17" s="173"/>
      <c r="G17" s="174"/>
      <c r="H17" s="174"/>
      <c r="I17" s="174"/>
    </row>
    <row r="18" spans="1:9" ht="15" customHeight="1" x14ac:dyDescent="0.25">
      <c r="A18" s="280"/>
      <c r="B18" s="215" t="s">
        <v>23</v>
      </c>
      <c r="C18" s="216">
        <v>45987</v>
      </c>
      <c r="D18" s="219">
        <v>8</v>
      </c>
      <c r="E18" s="219">
        <f>+D18+9</f>
        <v>17</v>
      </c>
      <c r="F18" s="219">
        <v>8</v>
      </c>
      <c r="G18" s="217"/>
      <c r="H18" s="217"/>
      <c r="I18" s="217"/>
    </row>
    <row r="19" spans="1:9" ht="15" customHeight="1" x14ac:dyDescent="0.25">
      <c r="A19" s="280"/>
      <c r="B19" s="215" t="s">
        <v>54</v>
      </c>
      <c r="C19" s="216">
        <v>45988</v>
      </c>
      <c r="D19" s="219">
        <v>7</v>
      </c>
      <c r="E19" s="219">
        <f>+D19+9</f>
        <v>16</v>
      </c>
      <c r="F19" s="219">
        <v>8</v>
      </c>
      <c r="G19" s="229"/>
      <c r="H19" s="217"/>
      <c r="I19" s="231"/>
    </row>
    <row r="20" spans="1:9" ht="15" customHeight="1" x14ac:dyDescent="0.25">
      <c r="A20" s="280"/>
      <c r="B20" s="215" t="s">
        <v>18</v>
      </c>
      <c r="C20" s="216">
        <v>45989</v>
      </c>
      <c r="D20" s="219">
        <v>8</v>
      </c>
      <c r="E20" s="219">
        <f>+D20+9</f>
        <v>17</v>
      </c>
      <c r="F20" s="219">
        <v>8</v>
      </c>
      <c r="G20" s="225"/>
      <c r="H20" s="217"/>
      <c r="I20" s="217"/>
    </row>
    <row r="21" spans="1:9" ht="15" customHeight="1" x14ac:dyDescent="0.25">
      <c r="A21" s="280"/>
      <c r="B21" s="215" t="s">
        <v>19</v>
      </c>
      <c r="C21" s="216">
        <v>45990</v>
      </c>
      <c r="D21" s="219">
        <v>8</v>
      </c>
      <c r="E21" s="219">
        <f>+D21+9</f>
        <v>17</v>
      </c>
      <c r="F21" s="219">
        <v>8</v>
      </c>
      <c r="G21" s="225"/>
      <c r="H21" s="217"/>
      <c r="I21" s="217"/>
    </row>
    <row r="22" spans="1:9" ht="15" customHeight="1" thickBot="1" x14ac:dyDescent="0.3">
      <c r="A22" s="279"/>
      <c r="B22" s="220" t="s">
        <v>20</v>
      </c>
      <c r="C22" s="235">
        <v>45991</v>
      </c>
      <c r="D22" s="222">
        <v>7</v>
      </c>
      <c r="E22" s="222">
        <f>+D22+9</f>
        <v>16</v>
      </c>
      <c r="F22" s="222">
        <v>8</v>
      </c>
      <c r="G22" s="223"/>
      <c r="H22" s="220"/>
      <c r="I22" s="223"/>
    </row>
    <row r="23" spans="1:9" ht="15" customHeight="1" x14ac:dyDescent="0.25">
      <c r="A23" s="278"/>
      <c r="B23" s="176" t="s">
        <v>21</v>
      </c>
      <c r="C23" s="193">
        <v>45992</v>
      </c>
      <c r="D23" s="177"/>
      <c r="E23" s="177"/>
      <c r="F23" s="177"/>
      <c r="G23" s="178"/>
      <c r="H23" s="178"/>
      <c r="I23" s="178"/>
    </row>
    <row r="24" spans="1:9" ht="15" customHeight="1" x14ac:dyDescent="0.25">
      <c r="A24" s="280"/>
      <c r="B24" s="172" t="s">
        <v>22</v>
      </c>
      <c r="C24" s="192">
        <v>45993</v>
      </c>
      <c r="D24" s="173"/>
      <c r="E24" s="173"/>
      <c r="F24" s="173"/>
      <c r="G24" s="174"/>
      <c r="H24" s="172"/>
      <c r="I24" s="174"/>
    </row>
    <row r="25" spans="1:9" ht="15" customHeight="1" x14ac:dyDescent="0.25">
      <c r="A25" s="280"/>
      <c r="B25" s="215" t="s">
        <v>23</v>
      </c>
      <c r="C25" s="216">
        <v>45994</v>
      </c>
      <c r="D25" s="228">
        <v>8</v>
      </c>
      <c r="E25" s="228">
        <f>+D25+9</f>
        <v>17</v>
      </c>
      <c r="F25" s="228">
        <v>8</v>
      </c>
      <c r="G25" s="225"/>
      <c r="H25" s="225"/>
      <c r="I25" s="225"/>
    </row>
    <row r="26" spans="1:9" ht="15" customHeight="1" x14ac:dyDescent="0.25">
      <c r="A26" s="280"/>
      <c r="B26" s="215" t="s">
        <v>54</v>
      </c>
      <c r="C26" s="216">
        <v>45995</v>
      </c>
      <c r="D26" s="228">
        <v>8</v>
      </c>
      <c r="E26" s="228">
        <f>+D26+9</f>
        <v>17</v>
      </c>
      <c r="F26" s="228">
        <v>8</v>
      </c>
      <c r="G26" s="229"/>
      <c r="H26" s="225"/>
      <c r="I26" s="217"/>
    </row>
    <row r="27" spans="1:9" ht="15" customHeight="1" x14ac:dyDescent="0.25">
      <c r="A27" s="280"/>
      <c r="B27" s="215" t="s">
        <v>18</v>
      </c>
      <c r="C27" s="216">
        <v>45996</v>
      </c>
      <c r="D27" s="228">
        <v>7</v>
      </c>
      <c r="E27" s="228">
        <f>+D27+9</f>
        <v>16</v>
      </c>
      <c r="F27" s="228">
        <v>8</v>
      </c>
      <c r="G27" s="229"/>
      <c r="H27" s="230"/>
      <c r="I27" s="231"/>
    </row>
    <row r="28" spans="1:9" ht="15" customHeight="1" x14ac:dyDescent="0.25">
      <c r="A28" s="280"/>
      <c r="B28" s="215" t="s">
        <v>19</v>
      </c>
      <c r="C28" s="216">
        <v>45997</v>
      </c>
      <c r="D28" s="228">
        <v>16</v>
      </c>
      <c r="E28" s="228">
        <f>+D28+9</f>
        <v>25</v>
      </c>
      <c r="F28" s="228">
        <v>8</v>
      </c>
      <c r="G28" s="217"/>
      <c r="H28" s="219"/>
      <c r="I28" s="218"/>
    </row>
    <row r="29" spans="1:9" ht="15" customHeight="1" thickBot="1" x14ac:dyDescent="0.3">
      <c r="A29" s="279"/>
      <c r="B29" s="220" t="s">
        <v>20</v>
      </c>
      <c r="C29" s="235">
        <v>45998</v>
      </c>
      <c r="D29" s="226">
        <v>16</v>
      </c>
      <c r="E29" s="226">
        <f>+D29+9</f>
        <v>25</v>
      </c>
      <c r="F29" s="226">
        <v>8</v>
      </c>
      <c r="G29" s="223"/>
      <c r="H29" s="223"/>
      <c r="I29" s="223"/>
    </row>
    <row r="30" spans="1:9" ht="15" customHeight="1" x14ac:dyDescent="0.25">
      <c r="A30" s="278"/>
      <c r="B30" s="176" t="s">
        <v>21</v>
      </c>
      <c r="C30" s="193">
        <v>45999</v>
      </c>
      <c r="D30" s="198"/>
      <c r="E30" s="198"/>
      <c r="F30" s="198"/>
      <c r="G30" s="178"/>
      <c r="H30" s="178"/>
      <c r="I30" s="178"/>
    </row>
    <row r="31" spans="1:9" ht="15" customHeight="1" x14ac:dyDescent="0.25">
      <c r="A31" s="280"/>
      <c r="B31" s="172" t="s">
        <v>22</v>
      </c>
      <c r="C31" s="192">
        <v>46000</v>
      </c>
      <c r="D31" s="175"/>
      <c r="E31" s="175"/>
      <c r="F31" s="175"/>
      <c r="G31" s="207"/>
      <c r="H31" s="174"/>
      <c r="I31" s="174"/>
    </row>
    <row r="32" spans="1:9" ht="15" customHeight="1" x14ac:dyDescent="0.25">
      <c r="A32" s="280"/>
      <c r="B32" s="215" t="s">
        <v>23</v>
      </c>
      <c r="C32" s="216">
        <v>46001</v>
      </c>
      <c r="D32" s="228">
        <v>8</v>
      </c>
      <c r="E32" s="228">
        <f>+D32+9</f>
        <v>17</v>
      </c>
      <c r="F32" s="228">
        <v>8</v>
      </c>
      <c r="G32" s="232"/>
      <c r="H32" s="217"/>
      <c r="I32" s="217"/>
    </row>
    <row r="33" spans="1:9" ht="15" customHeight="1" x14ac:dyDescent="0.25">
      <c r="A33" s="280"/>
      <c r="B33" s="215" t="s">
        <v>54</v>
      </c>
      <c r="C33" s="216">
        <v>46002</v>
      </c>
      <c r="D33" s="243">
        <v>8</v>
      </c>
      <c r="E33" s="243">
        <f>+D33+9</f>
        <v>17</v>
      </c>
      <c r="F33" s="243">
        <v>8</v>
      </c>
      <c r="G33" s="217"/>
      <c r="H33" s="217"/>
      <c r="I33" s="217"/>
    </row>
    <row r="34" spans="1:9" ht="15" customHeight="1" x14ac:dyDescent="0.25">
      <c r="A34" s="280"/>
      <c r="B34" s="215" t="s">
        <v>18</v>
      </c>
      <c r="C34" s="216">
        <v>46003</v>
      </c>
      <c r="D34" s="242">
        <v>8</v>
      </c>
      <c r="E34" s="242">
        <f>+D34+9</f>
        <v>17</v>
      </c>
      <c r="F34" s="242">
        <v>8</v>
      </c>
      <c r="G34" s="217"/>
      <c r="H34" s="217"/>
      <c r="I34" s="217"/>
    </row>
    <row r="35" spans="1:9" ht="15" customHeight="1" x14ac:dyDescent="0.25">
      <c r="A35" s="280"/>
      <c r="B35" s="215" t="s">
        <v>19</v>
      </c>
      <c r="C35" s="216">
        <v>46004</v>
      </c>
      <c r="D35" s="243">
        <v>17</v>
      </c>
      <c r="E35" s="243">
        <f>+D35+9</f>
        <v>26</v>
      </c>
      <c r="F35" s="243">
        <v>8</v>
      </c>
      <c r="G35" s="217"/>
      <c r="H35" s="217"/>
      <c r="I35" s="217"/>
    </row>
    <row r="36" spans="1:9" ht="15" customHeight="1" thickBot="1" x14ac:dyDescent="0.3">
      <c r="A36" s="279"/>
      <c r="B36" s="220" t="s">
        <v>20</v>
      </c>
      <c r="C36" s="235">
        <v>46005</v>
      </c>
      <c r="D36" s="239">
        <v>17</v>
      </c>
      <c r="E36" s="239">
        <f>+D36+9</f>
        <v>26</v>
      </c>
      <c r="F36" s="239">
        <v>8</v>
      </c>
      <c r="G36" s="223"/>
      <c r="H36" s="223"/>
      <c r="I36" s="223"/>
    </row>
    <row r="37" spans="1:9" ht="15" customHeight="1" thickBot="1" x14ac:dyDescent="0.3">
      <c r="B37" s="203"/>
      <c r="C37" s="275" t="s">
        <v>56</v>
      </c>
      <c r="D37" s="276"/>
      <c r="E37" s="277"/>
      <c r="F37" s="204">
        <f>SUM(F7:F36)</f>
        <v>176</v>
      </c>
      <c r="G37" s="205"/>
      <c r="H37" s="205">
        <f>SUM(H7:H36)</f>
        <v>0</v>
      </c>
      <c r="I37" s="206">
        <f>SUM(I8:I36)</f>
        <v>0</v>
      </c>
    </row>
  </sheetData>
  <mergeCells count="8">
    <mergeCell ref="A23:A29"/>
    <mergeCell ref="A30:A36"/>
    <mergeCell ref="C37:E37"/>
    <mergeCell ref="I1:J1"/>
    <mergeCell ref="I2:J2"/>
    <mergeCell ref="A7:A8"/>
    <mergeCell ref="A9:A15"/>
    <mergeCell ref="A16:A22"/>
  </mergeCells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opLeftCell="A13"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BA1D79534271418ADB3A7B99BF7B72" ma:contentTypeVersion="11" ma:contentTypeDescription="Crear nuevo documento." ma:contentTypeScope="" ma:versionID="95e2ba8d7167416c539d91122dad1f48">
  <xsd:schema xmlns:xsd="http://www.w3.org/2001/XMLSchema" xmlns:xs="http://www.w3.org/2001/XMLSchema" xmlns:p="http://schemas.microsoft.com/office/2006/metadata/properties" xmlns:ns3="84567af3-92e2-4536-b02c-b7a33fd0abb1" xmlns:ns4="6d2de15b-063c-4aa5-955a-49160cbc8c69" targetNamespace="http://schemas.microsoft.com/office/2006/metadata/properties" ma:root="true" ma:fieldsID="d1266f55127b0209598943a3cdff8c17" ns3:_="" ns4:_="">
    <xsd:import namespace="84567af3-92e2-4536-b02c-b7a33fd0abb1"/>
    <xsd:import namespace="6d2de15b-063c-4aa5-955a-49160cbc8c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67af3-92e2-4536-b02c-b7a33fd0a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de15b-063c-4aa5-955a-49160cbc8c6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3B7B67-FE10-4999-8B9C-93D5C45758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567af3-92e2-4536-b02c-b7a33fd0abb1"/>
    <ds:schemaRef ds:uri="6d2de15b-063c-4aa5-955a-49160cbc8c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A2910C-D125-4430-916E-5134D2DEC3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82C431-9D79-49A9-AE11-9F87B9DF8C5A}">
  <ds:schemaRefs>
    <ds:schemaRef ds:uri="http://purl.org/dc/elements/1.1/"/>
    <ds:schemaRef ds:uri="6d2de15b-063c-4aa5-955a-49160cbc8c69"/>
    <ds:schemaRef ds:uri="http://purl.org/dc/terms/"/>
    <ds:schemaRef ds:uri="http://schemas.microsoft.com/office/2006/documentManagement/types"/>
    <ds:schemaRef ds:uri="84567af3-92e2-4536-b02c-b7a33fd0abb1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Israel Cuestas</vt:lpstr>
      <vt:lpstr>Luis Robles</vt:lpstr>
      <vt:lpstr>HUGO PARADA</vt:lpstr>
      <vt:lpstr>AGUIRRE DELGADO</vt:lpstr>
      <vt:lpstr>Marco Monta</vt:lpstr>
      <vt:lpstr>JOSE SERRANO</vt:lpstr>
      <vt:lpstr>MELANIE REYES</vt:lpstr>
      <vt:lpstr>CRISTHIAN JIMENEZ</vt:lpstr>
      <vt:lpstr>FERNANDO PHILCO </vt:lpstr>
      <vt:lpstr>GABRIEL BAQUERIZO</vt:lpstr>
      <vt:lpstr>BRYAN RODRIGUEZ</vt:lpstr>
      <vt:lpstr>ISSAC GONZALEZ</vt:lpstr>
      <vt:lpstr>Hoja1</vt:lpstr>
      <vt:lpstr>'AGUIRRE DELGADO'!_xlnm__FilterDatabase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 los Angeles Barreno</dc:creator>
  <cp:keywords/>
  <dc:description/>
  <cp:lastModifiedBy>Oscar Castro</cp:lastModifiedBy>
  <cp:revision>4</cp:revision>
  <dcterms:created xsi:type="dcterms:W3CDTF">2013-05-22T15:00:22Z</dcterms:created>
  <dcterms:modified xsi:type="dcterms:W3CDTF">2026-05-19T17:35:20Z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0x01010077BA1D79534271418ADB3A7B99BF7B72</vt:lpwstr>
  </property>
</Properties>
</file>